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gner\Documents\CLIENTES\"/>
    </mc:Choice>
  </mc:AlternateContent>
  <xr:revisionPtr revIDLastSave="0" documentId="13_ncr:1_{21EF5A67-A0B5-4AEA-9810-0FA0594E83D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LOJAS" sheetId="2" r:id="rId2"/>
    <sheet name="Premissa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2" l="1"/>
  <c r="E32" i="2"/>
  <c r="D32" i="2"/>
  <c r="G31" i="2"/>
  <c r="F31" i="2"/>
  <c r="F30" i="2"/>
  <c r="E30" i="2"/>
  <c r="D30" i="2"/>
  <c r="H29" i="2"/>
  <c r="G29" i="2"/>
  <c r="F29" i="2"/>
  <c r="D29" i="2"/>
  <c r="F28" i="2"/>
  <c r="E28" i="2"/>
  <c r="D28" i="2"/>
  <c r="H27" i="2"/>
  <c r="G27" i="2"/>
  <c r="F26" i="2"/>
  <c r="E26" i="2"/>
  <c r="D26" i="2"/>
  <c r="E34" i="2"/>
  <c r="D34" i="2"/>
  <c r="G23" i="2"/>
  <c r="G22" i="2"/>
  <c r="C21" i="2"/>
  <c r="D21" i="2"/>
  <c r="AI15" i="2"/>
  <c r="AH15" i="2" s="1"/>
  <c r="AI14" i="2"/>
  <c r="AH14" i="2" s="1"/>
  <c r="AI13" i="2"/>
  <c r="AH13" i="2" s="1"/>
  <c r="AI12" i="2"/>
  <c r="AH12" i="2" s="1"/>
  <c r="E29" i="2" s="1"/>
  <c r="AI11" i="2"/>
  <c r="AH11" i="2" s="1"/>
  <c r="AI10" i="2"/>
  <c r="AH10" i="2" s="1"/>
  <c r="AI9" i="2"/>
  <c r="AH9" i="2" s="1"/>
  <c r="AI8" i="2"/>
  <c r="AH8" i="2" s="1"/>
  <c r="AI7" i="2"/>
  <c r="AH7" i="2" s="1"/>
  <c r="AI16" i="2"/>
  <c r="AH16" i="2" s="1"/>
  <c r="AI5" i="2"/>
  <c r="AH5" i="2" s="1"/>
  <c r="AI6" i="2"/>
  <c r="AH6" i="2" s="1"/>
  <c r="AI4" i="2"/>
  <c r="AH4" i="2" s="1"/>
  <c r="AI3" i="2"/>
  <c r="AH3" i="2" s="1"/>
  <c r="T15" i="2"/>
  <c r="S15" i="2" s="1"/>
  <c r="T14" i="2"/>
  <c r="S14" i="2" s="1"/>
  <c r="E31" i="2" s="1"/>
  <c r="T13" i="2"/>
  <c r="S13" i="2" s="1"/>
  <c r="T12" i="2"/>
  <c r="S12" i="2" s="1"/>
  <c r="T11" i="2"/>
  <c r="S11" i="2" s="1"/>
  <c r="T10" i="2"/>
  <c r="S10" i="2" s="1"/>
  <c r="T9" i="2"/>
  <c r="H26" i="2" s="1"/>
  <c r="S9" i="2"/>
  <c r="T8" i="2"/>
  <c r="S8" i="2" s="1"/>
  <c r="T7" i="2"/>
  <c r="S7" i="2"/>
  <c r="T16" i="2"/>
  <c r="S16" i="2" s="1"/>
  <c r="E33" i="2" s="1"/>
  <c r="T5" i="2"/>
  <c r="S5" i="2"/>
  <c r="T6" i="2"/>
  <c r="S6" i="2" s="1"/>
  <c r="T4" i="2"/>
  <c r="S4" i="2" s="1"/>
  <c r="T3" i="2"/>
  <c r="S3" i="2" s="1"/>
  <c r="E4" i="2"/>
  <c r="D4" i="2" s="1"/>
  <c r="E22" i="2" s="1"/>
  <c r="E6" i="2"/>
  <c r="D6" i="2" s="1"/>
  <c r="E5" i="2"/>
  <c r="D5" i="2" s="1"/>
  <c r="E24" i="2" s="1"/>
  <c r="E16" i="2"/>
  <c r="D16" i="2" s="1"/>
  <c r="C33" i="2" s="1"/>
  <c r="E7" i="2"/>
  <c r="D7" i="2" s="1"/>
  <c r="C34" i="2" s="1"/>
  <c r="E8" i="2"/>
  <c r="D8" i="2" s="1"/>
  <c r="E25" i="2" s="1"/>
  <c r="E9" i="2"/>
  <c r="D9" i="2" s="1"/>
  <c r="C26" i="2" s="1"/>
  <c r="E10" i="2"/>
  <c r="D10" i="2" s="1"/>
  <c r="E27" i="2" s="1"/>
  <c r="E11" i="2"/>
  <c r="D11" i="2" s="1"/>
  <c r="C28" i="2" s="1"/>
  <c r="E12" i="2"/>
  <c r="D12" i="2" s="1"/>
  <c r="C29" i="2" s="1"/>
  <c r="E13" i="2"/>
  <c r="D13" i="2" s="1"/>
  <c r="C30" i="2" s="1"/>
  <c r="E14" i="2"/>
  <c r="D14" i="2" s="1"/>
  <c r="C31" i="2" s="1"/>
  <c r="E15" i="2"/>
  <c r="D15" i="2" s="1"/>
  <c r="C32" i="2" s="1"/>
  <c r="E3" i="2"/>
  <c r="D3" i="2" s="1"/>
  <c r="E21" i="2" s="1"/>
  <c r="D3" i="5"/>
  <c r="D4" i="5"/>
  <c r="D5" i="5"/>
  <c r="D6" i="5"/>
  <c r="D7" i="5"/>
  <c r="D2" i="5"/>
  <c r="E23" i="2" l="1"/>
  <c r="G25" i="2"/>
  <c r="G33" i="2"/>
  <c r="H22" i="2"/>
  <c r="H23" i="2"/>
  <c r="H25" i="2"/>
  <c r="H31" i="2"/>
  <c r="H33" i="2"/>
  <c r="C24" i="2"/>
  <c r="D24" i="2"/>
  <c r="H21" i="2"/>
  <c r="F24" i="2"/>
  <c r="F34" i="2"/>
  <c r="F32" i="2"/>
  <c r="G21" i="2"/>
  <c r="G24" i="2"/>
  <c r="G34" i="2"/>
  <c r="G26" i="2"/>
  <c r="G28" i="2"/>
  <c r="G30" i="2"/>
  <c r="G32" i="2"/>
  <c r="F21" i="2"/>
  <c r="H24" i="2"/>
  <c r="H34" i="2"/>
  <c r="H28" i="2"/>
  <c r="H30" i="2"/>
  <c r="H32" i="2"/>
  <c r="C22" i="2"/>
  <c r="C23" i="2"/>
  <c r="C25" i="2"/>
  <c r="C27" i="2"/>
  <c r="D22" i="2"/>
  <c r="D23" i="2"/>
  <c r="D25" i="2"/>
  <c r="D27" i="2"/>
  <c r="D31" i="2"/>
  <c r="D33" i="2"/>
  <c r="F22" i="2"/>
  <c r="F23" i="2"/>
  <c r="F25" i="2"/>
  <c r="F2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2DAD41-2B69-41D8-961A-FE9B8B80869E}" keepAlive="1" name="Consulta - CENSO-2022_AREA" description="Conexão com a consulta 'CENSO-2022_AREA' na pasta de trabalho." type="5" refreshedVersion="0" background="1">
    <dbPr connection="Provider=Microsoft.Mashup.OleDb.1;Data Source=$Workbook$;Location=CENSO-2022_AREA;Extended Properties=&quot;&quot;" command="SELECT * FROM [CENSO-2022_AREA]"/>
  </connection>
</connections>
</file>

<file path=xl/sharedStrings.xml><?xml version="1.0" encoding="utf-8"?>
<sst xmlns="http://schemas.openxmlformats.org/spreadsheetml/2006/main" count="214" uniqueCount="136">
  <si>
    <t>id</t>
  </si>
  <si>
    <t>nome_unidade</t>
  </si>
  <si>
    <t>endereco</t>
  </si>
  <si>
    <t>telefone</t>
  </si>
  <si>
    <t>tipos_de_quadra</t>
  </si>
  <si>
    <t>oferecimento_unidade</t>
  </si>
  <si>
    <t>latitude</t>
  </si>
  <si>
    <t>longitude</t>
  </si>
  <si>
    <t>sobre</t>
  </si>
  <si>
    <t>Aclimação</t>
  </si>
  <si>
    <t>Anália Franco</t>
  </si>
  <si>
    <t>Casa do Ator - Vila Olímpia</t>
  </si>
  <si>
    <t>Campo Belo</t>
  </si>
  <si>
    <t>Ibirapuera</t>
  </si>
  <si>
    <t>Ipiranga</t>
  </si>
  <si>
    <t>Jardim das Perdizes</t>
  </si>
  <si>
    <t>Leblon - RJ</t>
  </si>
  <si>
    <t>Morumbi</t>
  </si>
  <si>
    <t>Nova Ipiranga</t>
  </si>
  <si>
    <t>Santana</t>
  </si>
  <si>
    <t>Sorocaba</t>
  </si>
  <si>
    <t>Tatuapé Beach Tennis</t>
  </si>
  <si>
    <t>Avenida Armando Ferrentini, 671</t>
  </si>
  <si>
    <t>Avenida Vereador Abel Ferreira, 1070​</t>
  </si>
  <si>
    <t>Rua Casa do Ator, 501</t>
  </si>
  <si>
    <t>Rua Demóstenes, 129 - Brooklin</t>
  </si>
  <si>
    <t>Rua Estado de Israel, 860. Vila Clementino</t>
  </si>
  <si>
    <t>Rua Dom Mateus, 45</t>
  </si>
  <si>
    <t>Avenida Nicolas Boer, 120</t>
  </si>
  <si>
    <t>Niemeyer, 121 Leblon, Rio de Janeiro​</t>
  </si>
  <si>
    <t>Avenida Giovanni Gronchi, 3399</t>
  </si>
  <si>
    <t>Rua Costa Aguiar, 490</t>
  </si>
  <si>
    <t>Rua Bento de Alvarenga, 15</t>
  </si>
  <si>
    <t>Rua Prof. Magalhães de Noronha, 167</t>
  </si>
  <si>
    <t>Rua Ivai, 134</t>
  </si>
  <si>
    <t>11 91772-9330</t>
  </si>
  <si>
    <t>11 96337-0000, 11 2506-5395</t>
  </si>
  <si>
    <t>11 99606-4000, 11 3848-9043</t>
  </si>
  <si>
    <t>11 2359-9864</t>
  </si>
  <si>
    <t>11 97752-0488</t>
  </si>
  <si>
    <t>11 97235-9500, 11 2215-3834</t>
  </si>
  <si>
    <t>11 9595-27000</t>
  </si>
  <si>
    <t>21 99347-4444</t>
  </si>
  <si>
    <t>11 97540-9685, 11 3744-7075</t>
  </si>
  <si>
    <t>11 99318-1833</t>
  </si>
  <si>
    <t>11 91333-8431, 11 2950-6871</t>
  </si>
  <si>
    <t>15 98163-7762</t>
  </si>
  <si>
    <t>11 94843-9000</t>
  </si>
  <si>
    <t>Quadra Rápida, Squash</t>
  </si>
  <si>
    <t>Quadra Saibro</t>
  </si>
  <si>
    <t>Quadra Rápida, Quadra Saibro</t>
  </si>
  <si>
    <t>Quadra Rápida, Ginásio Poliesportivo</t>
  </si>
  <si>
    <t>Quadra Rápida, Squash, Quadra Saibro</t>
  </si>
  <si>
    <t>Quadra Saibro, Quadra Rápida</t>
  </si>
  <si>
    <t>Beach Tennis, Quadra Rápida, Quadra Saibro</t>
  </si>
  <si>
    <t>Quadra Saibro, Beach Tennis, Pickleball</t>
  </si>
  <si>
    <t>Beach Tennis</t>
  </si>
  <si>
    <t>Vestiário, Bar, Restaurante, Snacks, Mini-lojinha com Produtos Essenciais</t>
  </si>
  <si>
    <t>Vestiário, Bar, Estacionamento Gratuito, Lanchonete, Serviço de Encordoamento, Mini-lojinha com Produtos Essenciais</t>
  </si>
  <si>
    <t>Vestiário, Bar, Serviço de Encordoamento, Mini-lojinha com Produtos Essenciais</t>
  </si>
  <si>
    <t>Vestiário, Bar, Estacionamento Gratuito, Restaurante, Loja de Artigos Esportivos, Serviço de Encordoamento, Mini-lojinha com Produtos Essenciais</t>
  </si>
  <si>
    <t>Vestiário, Estacionamento Amplo, Lanchonete</t>
  </si>
  <si>
    <t>Vestirário, Bar, Minilojinha com Produtos Essenciais, Paredão</t>
  </si>
  <si>
    <t>Vestiário, Bar, Estacionamento Pago, Restaurante, Serviço de Encordoamento, Mini-lojinha com Produtos Essenciais, Duchas Externas, Área de Convivência</t>
  </si>
  <si>
    <t>Vestiário, Estacionamento Pago</t>
  </si>
  <si>
    <t>Vestiário, Estacionamento Pago, Lanchonete, Serviço de Encordoamento, Mini-lojinha com Produtos Essenciais, Sala de Reunião</t>
  </si>
  <si>
    <t>Vestiário, Bar, Estacionamento Pago, Lanchonete, Mini-lojinha com Produtos Essenciais, Espaço com Churrasqueira</t>
  </si>
  <si>
    <t>Vestiário, Bar, Estacionamento Gratuito, Mini-lojinha com Produtos Essenciais, Duchas Externas</t>
  </si>
  <si>
    <t>Vestiário, Estacionamento Gratuito, Lanchonete, Área de Convivência, Loja de Artigos Esportivos, Parquinho para Crianças</t>
  </si>
  <si>
    <t>Vestiário, Estacionamento Gratuito, Lanchonete</t>
  </si>
  <si>
    <t>A unidade Aclimação possui 3 quadras rápidas descobertas de piso sintético e 1 quadra de squash, todas com iluminação. Sua estrutura conta com vestiários masculino e feminino com chuveiros, artigos esportivos para venda (bolinhas, grips, munhequeiras, etc) e lanchonete (bebidas e salgadinhos). Esta unidade não possui estacionamento nem serviço de encordoamento.</t>
  </si>
  <si>
    <t>A unidade Anália Franco possui 4 quadras descobertas de saibro, todas com iluminação. Sua estrutura conta com vestiários masculino e feminino com chuveiros, loja de materiais esportivos e lanchonete (bebidas, salgados e refeições). Esta unidade possui serviço de encordoamento (dentro da loja) e estacionamento gratuito com capacidade para até 15 carros.</t>
  </si>
  <si>
    <t>A unidade Vila Olímpia - Casa do Ator possui 1 quadra de saibro coberta e 2 quadras rápidas descobertas, todas iluminadas. Sua estrutura conta com vestiários masculino e feminino com chuveiros, venda de artigos esportivos e mini bar de auto-serviço (bebidas). Esta unidade não possui estacionamento PlayTennis, porém há estacionamentos na região.</t>
  </si>
  <si>
    <t>A Unidade Campo Belo possui 4 quadras sendo 2 de saibro cobertas, 1 de piso sintético coberta e 1 de piso sintético descoberta. A unidade conta com lanchonete, vestiários, lojinha com materiais esportivos, serviço de encordoamento e estacionamento cortesia.</t>
  </si>
  <si>
    <t>A unidade PlayTennis Ibirapuera possui 4 quadras rápidas descobertas, todas com iluminação. Estamos localizados dentro da Fundação São Paulo/SP – Derdic. Uma estrutura completa e recém reformada para proporcionar momentos de lazer e entretenimento a todos!</t>
  </si>
  <si>
    <t>A unidade Ipiranga (Vila Monumento) possui 2 quadras cobertas de saibro, todas com iluminação. Além de 1 quadra rápida descoberta! Sua estrutura conta com vestiários masculino e feminino com chuveiros, venda de artigos esportivos, e mini bar de auto-serviço na área do tênis e do beach tennis. Esta unidade não possui estacionamento nem serviço de encordoamento.</t>
  </si>
  <si>
    <t>A unidade Jardim das Perdizes possui 5 quadras de saibro descobertas, todas com iluminação. A unidade está dentro de um complexo compartilhado com o BotaniKafé (Restaurante), Care Club (Fisioterapia Esportiva) e Calçadão (Quadras de Areia), sua estrutura conta com vestiários masculino e feminino com chuveiros. Estacionamento terceirizado pago. Nesta unidade não há serviço de encordoamento.</t>
  </si>
  <si>
    <t>A unidade Leblon possui 1 quadra de saibro descoberta e 2 quadras rápidas descobertas, todas com iluminação e uma vista incrível para o mar! Está localizada dentro do Sheraton Grand Rio Hotel &amp; Resort. Sua estrutura conta com vestiários masculino e feminino com chuveiros e estacionamento pago com desconto PlayTennis (basta carimbar no SPA). Nesta unidade não há serviço de encordoamento.</t>
  </si>
  <si>
    <t>A Unidade Morumbi possui 10 quadras: 2 de saibro descobertas, 3 de piso sintético cobertas, 5 de piso sintético descobertas, além de 1 quadra de squash administrada pela empresa Helinho Squash. Com estrutura de clube, a unidade conta com lanchonete, vestiários, lojinha com materiais esportivos, serviço de encordoamento e estacionamento pago com manobrista.</t>
  </si>
  <si>
    <t>A unidade Nova Ipiranga possui 6 quadras cobertas, sendo 2 quadras de piso sintético e 4 quadras de saibro, todas com iluminação. Sua estrutura conta com vestiários masculino e feminino com chuveiros, loja de equipamentos esportivos, lanchonete (bebidas, lanches e refeições), área com churrasqueira, estacionamento e uma estrutura super moderna!</t>
  </si>
  <si>
    <t>A unidade Santana possui 2 quadras cobertas de saibro e 1 quadra descoberta de piso sintético, todas com iluminação. Além de 2 quadras de Beach Tennis, também iluminadas. Sua estrutura conta com vestiários masculino e feminino com chuveiros, venda de artigos esportivos, mini bar de auto-serviço (bebidas) e estacionamento gratuito com capacidade de 5 carros. Esta unidade não possui serviço de encordoamento.</t>
  </si>
  <si>
    <t>A unidade Sorocaba possui 9 quadras de saibro descobertas, 4 quadras de beach tennis e 3 quadra de pickeball, todas com iluminação. Uma estrutura completa e recém reformada para proporcionar momentos de lazer e entretenimento a todos, onde você pode participar de eventos ou até mesmo fazer o seu!</t>
  </si>
  <si>
    <t>A unidade Beach Tennis Tatuapé possui 5 quadras de Beach Tennis descobertas todas com iluminação. Sua estrutura conta com vestiários masculino e feminino com chuveiros, lanchonete e estacionamento gratuito.</t>
  </si>
  <si>
    <t>link_site</t>
  </si>
  <si>
    <t>https://www.playtennis.com.br/academias/aclimacao</t>
  </si>
  <si>
    <t>https://www.playtennis.com.br/academias/analia-franco</t>
  </si>
  <si>
    <t>https://www.playtennis.com.br/academias/casa-do-ator-vila-olimpia</t>
  </si>
  <si>
    <t>https://www.playtennis.com.br/academias/campo-belo</t>
  </si>
  <si>
    <t>Eixo Monumental - Brasília</t>
  </si>
  <si>
    <t>ST SRPN Centro Esportivo de Brasília (ao lado Ginásio Nilson Nelson Estádio Nacional de Brasília Mané Garrincha Parte - Asa Norte, Brasília</t>
  </si>
  <si>
    <t>61 98144-3898, 61 3251-4502</t>
  </si>
  <si>
    <t>Beach Tennis, Quadra Rápida</t>
  </si>
  <si>
    <t>Vestiário, Estacionamento Gratuito, Bar, Restaurante, Serviço de Encordoamento, Duchas Externas, Mini-lojinha com produtos essenciais, Sala de Reunião, Massagem Esportiva</t>
  </si>
  <si>
    <t>A unidade de Brasília Eixo Monumental se destaca pela estrutura arejada e inclusiva, localizada bem no coração da cidade. Pronta para receber pessoas dos mais diversos lugares. São 5 quadras rápidas de tênis e 5 quadras de beach tennis, todas com iluminação e com vista para os maiores estádios de Brasília. A unidade possui vestiários, massoterapia, sala de reunião, além de ser pet friendly. Uma estrutura completa e super nova para proporcionar momentos de lazer e entretenimento a todos, onde você pode participar de eventos ou até mesmo fazer o seu! Não deixe de conhecer também os diversos produtos da unidade: aulas de tênis e beach tennis, locações de quadras de tênis e de areia, Day Use de beach tennis, PlayClub de Beach Tennis,</t>
  </si>
  <si>
    <t>https://www.playtennis.com.br/academias/eixo-monumental-brasilia</t>
  </si>
  <si>
    <t>https://www.playtennis.com.br/academias/ibirapuera</t>
  </si>
  <si>
    <t>https://www.playtennis.com.br/academias/ipiranga</t>
  </si>
  <si>
    <t>https://www.playtennis.com.br/academias/jardim-das-perdizes</t>
  </si>
  <si>
    <t>https://www.playtennis.com.br/academias/leblon-rj</t>
  </si>
  <si>
    <t>https://www.playtennis.com.br/academias/morumbi</t>
  </si>
  <si>
    <t>https://www.playtennis.com.br/academias/nova-ipiranga</t>
  </si>
  <si>
    <t>https://www.playtennis.com.br/academias/santana</t>
  </si>
  <si>
    <t>https://www.playtennis.com.br/academias/sorocaba</t>
  </si>
  <si>
    <t>https://www.playtennis.com.br/academias/tatuape-beach-tennis</t>
  </si>
  <si>
    <t>18–24 anos</t>
  </si>
  <si>
    <t>25–39 anos</t>
  </si>
  <si>
    <t>40–59 anos</t>
  </si>
  <si>
    <t>Homens</t>
  </si>
  <si>
    <t>Mulheres</t>
  </si>
  <si>
    <t>IDADE</t>
  </si>
  <si>
    <t>SEXO</t>
  </si>
  <si>
    <t>Pratica Esporte</t>
  </si>
  <si>
    <t>Pratica Tênis</t>
  </si>
  <si>
    <t>H-20 a 24 anos</t>
  </si>
  <si>
    <t>H-25 a 29 anos</t>
  </si>
  <si>
    <t>H-30 a 39 anos</t>
  </si>
  <si>
    <t>H-40 a 49 anos</t>
  </si>
  <si>
    <t>H-50 a 59 anos</t>
  </si>
  <si>
    <t>M-20 a 24 anos</t>
  </si>
  <si>
    <t>M-25 a 29 anos</t>
  </si>
  <si>
    <t>M-30 a 39 anos</t>
  </si>
  <si>
    <t>M-40 a 49 anos</t>
  </si>
  <si>
    <t>M-50 a 59 anos</t>
  </si>
  <si>
    <t>Renda_media</t>
  </si>
  <si>
    <t>Domicilios</t>
  </si>
  <si>
    <t>Populacao</t>
  </si>
  <si>
    <t>Praticam_Tenis</t>
  </si>
  <si>
    <t>Praticam_Esporte</t>
  </si>
  <si>
    <t>Raio 03km</t>
  </si>
  <si>
    <t>Raio 01km</t>
  </si>
  <si>
    <t>Raio 02km</t>
  </si>
  <si>
    <t>RESUMO</t>
  </si>
  <si>
    <t>DADOS POR RAIO</t>
  </si>
  <si>
    <t>01 km</t>
  </si>
  <si>
    <t>02 km</t>
  </si>
  <si>
    <t>03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</si>
</sst>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72" formatCode="0.0%"/>
    <numFmt numFmtId="176" formatCode="&quot;R$&quot;\ #,##0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rgb="FFFFFFFF"/>
      <name val="Arial"/>
      <family val="2"/>
    </font>
    <font>
      <u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72" fontId="0" fillId="0" borderId="0" xfId="2" applyNumberFormat="1" applyFont="1" applyAlignment="1">
      <alignment horizontal="center"/>
    </xf>
    <xf numFmtId="0" fontId="0" fillId="2" borderId="2" xfId="0" applyFill="1" applyBorder="1" applyAlignment="1">
      <alignment horizontal="center"/>
    </xf>
    <xf numFmtId="176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0" fillId="6" borderId="0" xfId="0" applyFill="1" applyBorder="1" applyAlignment="1">
      <alignment horizontal="center"/>
    </xf>
  </cellXfs>
  <cellStyles count="3">
    <cellStyle name="Hiperlink" xfId="1" builtinId="8"/>
    <cellStyle name="Normal" xfId="0" builtinId="0"/>
    <cellStyle name="Porcentagem" xfId="2" builtinId="5"/>
  </cellStyles>
  <dxfs count="12">
    <dxf>
      <font>
        <strike val="0"/>
        <outline val="0"/>
        <shadow val="0"/>
        <vertAlign val="baseline"/>
        <sz val="12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Arial"/>
        <family val="2"/>
        <scheme val="none"/>
      </font>
      <numFmt numFmtId="164" formatCode="0.0000"/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Arial"/>
        <family val="2"/>
        <scheme val="none"/>
      </font>
      <numFmt numFmtId="164" formatCode="0.0000"/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Arial"/>
        <family val="2"/>
        <scheme val="none"/>
      </font>
      <alignment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Arial"/>
        <family val="2"/>
        <scheme val="none"/>
      </font>
      <alignment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4552FF-311F-47D9-9FC0-4DD199214EEE}" name="Tabela1" displayName="Tabela1" ref="A1:J15" totalsRowShown="0" headerRowDxfId="11" dataDxfId="10">
  <tableColumns count="10">
    <tableColumn id="1" xr3:uid="{8E864DD3-CEF5-4F45-BEF4-465DF966E6DE}" name="id" dataDxfId="9"/>
    <tableColumn id="2" xr3:uid="{97803928-A633-4D53-867E-6C43FF161805}" name="nome_unidade" dataDxfId="8"/>
    <tableColumn id="3" xr3:uid="{08421FB1-B4D9-487D-B601-B7FCF73383DD}" name="endereco" dataDxfId="7"/>
    <tableColumn id="4" xr3:uid="{E1D8D536-D48D-4131-927D-2C4010C8A0C8}" name="telefone" dataDxfId="6"/>
    <tableColumn id="5" xr3:uid="{ED735DC8-68A1-4B02-89B0-229B3709C827}" name="tipos_de_quadra" dataDxfId="5"/>
    <tableColumn id="6" xr3:uid="{C935A044-CE87-4ED4-BF64-50B988EDAB38}" name="oferecimento_unidade" dataDxfId="4"/>
    <tableColumn id="7" xr3:uid="{4EC58BC8-E4AD-42BC-A5A7-BD70C28F0506}" name="latitude" dataDxfId="3"/>
    <tableColumn id="8" xr3:uid="{41CBD8C3-C563-40DD-A8DB-8EEE6CBE1DF1}" name="longitude" dataDxfId="2"/>
    <tableColumn id="9" xr3:uid="{31E9F379-151B-459C-B502-6CD7A4D481B2}" name="sobre" dataDxfId="1"/>
    <tableColumn id="10" xr3:uid="{FD1B6BAC-848D-4839-B90C-3386EEB49BFB}" name="link_site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laytennis.com.br/academias/jardim-das-perdizes" TargetMode="External"/><Relationship Id="rId13" Type="http://schemas.openxmlformats.org/officeDocument/2006/relationships/hyperlink" Target="https://www.playtennis.com.br/academias/sorocaba" TargetMode="External"/><Relationship Id="rId3" Type="http://schemas.openxmlformats.org/officeDocument/2006/relationships/hyperlink" Target="https://www.playtennis.com.br/academias/casa-do-ator-vila-olimpia" TargetMode="External"/><Relationship Id="rId7" Type="http://schemas.openxmlformats.org/officeDocument/2006/relationships/hyperlink" Target="https://www.playtennis.com.br/academias/ipiranga" TargetMode="External"/><Relationship Id="rId12" Type="http://schemas.openxmlformats.org/officeDocument/2006/relationships/hyperlink" Target="https://www.playtennis.com.br/academias/santana" TargetMode="External"/><Relationship Id="rId2" Type="http://schemas.openxmlformats.org/officeDocument/2006/relationships/hyperlink" Target="https://www.playtennis.com.br/academias/analia-franco" TargetMode="External"/><Relationship Id="rId1" Type="http://schemas.openxmlformats.org/officeDocument/2006/relationships/hyperlink" Target="https://www.playtennis.com.br/academias/aclimacao" TargetMode="External"/><Relationship Id="rId6" Type="http://schemas.openxmlformats.org/officeDocument/2006/relationships/hyperlink" Target="https://www.playtennis.com.br/academias/ibirapuera" TargetMode="External"/><Relationship Id="rId11" Type="http://schemas.openxmlformats.org/officeDocument/2006/relationships/hyperlink" Target="https://www.playtennis.com.br/academias/nova-ipiranga" TargetMode="External"/><Relationship Id="rId5" Type="http://schemas.openxmlformats.org/officeDocument/2006/relationships/hyperlink" Target="https://www.playtennis.com.br/academias/eixo-monumental-brasilia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www.playtennis.com.br/academias/morumbi" TargetMode="External"/><Relationship Id="rId4" Type="http://schemas.openxmlformats.org/officeDocument/2006/relationships/hyperlink" Target="https://www.playtennis.com.br/academias/campo-belo" TargetMode="External"/><Relationship Id="rId9" Type="http://schemas.openxmlformats.org/officeDocument/2006/relationships/hyperlink" Target="https://www.playtennis.com.br/academias/leblon-rj" TargetMode="External"/><Relationship Id="rId14" Type="http://schemas.openxmlformats.org/officeDocument/2006/relationships/hyperlink" Target="https://www.playtennis.com.br/academias/tatuape-beach-tenn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zoomScale="85" zoomScaleNormal="85" workbookViewId="0"/>
  </sheetViews>
  <sheetFormatPr defaultColWidth="9.109375" defaultRowHeight="15" x14ac:dyDescent="0.3"/>
  <cols>
    <col min="1" max="1" width="4.88671875" style="2" customWidth="1"/>
    <col min="2" max="2" width="30.6640625" style="2" bestFit="1" customWidth="1"/>
    <col min="3" max="3" width="38.88671875" style="2" bestFit="1" customWidth="1"/>
    <col min="4" max="4" width="25.88671875" style="2" bestFit="1" customWidth="1"/>
    <col min="5" max="5" width="40.88671875" style="2" bestFit="1" customWidth="1"/>
    <col min="6" max="6" width="31" style="2" customWidth="1"/>
    <col min="7" max="7" width="16.33203125" style="5" customWidth="1"/>
    <col min="8" max="8" width="25.88671875" style="5" bestFit="1" customWidth="1"/>
    <col min="9" max="9" width="51.44140625" style="2" customWidth="1"/>
    <col min="10" max="10" width="55.44140625" style="2" bestFit="1" customWidth="1"/>
    <col min="11" max="16384" width="9.109375" style="2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1" t="s">
        <v>8</v>
      </c>
      <c r="J1" s="2" t="s">
        <v>83</v>
      </c>
    </row>
    <row r="2" spans="1:10" ht="120" x14ac:dyDescent="0.3">
      <c r="A2" s="2">
        <v>1</v>
      </c>
      <c r="B2" s="2" t="s">
        <v>9</v>
      </c>
      <c r="C2" s="2" t="s">
        <v>22</v>
      </c>
      <c r="D2" s="2" t="s">
        <v>35</v>
      </c>
      <c r="E2" s="2" t="s">
        <v>48</v>
      </c>
      <c r="F2" s="2" t="s">
        <v>57</v>
      </c>
      <c r="G2" s="5">
        <v>-23.578177906506198</v>
      </c>
      <c r="H2" s="5">
        <v>-46.636675517336698</v>
      </c>
      <c r="I2" s="2" t="s">
        <v>70</v>
      </c>
      <c r="J2" s="6" t="s">
        <v>84</v>
      </c>
    </row>
    <row r="3" spans="1:10" ht="120" x14ac:dyDescent="0.3">
      <c r="A3" s="2">
        <v>2</v>
      </c>
      <c r="B3" s="2" t="s">
        <v>10</v>
      </c>
      <c r="C3" s="2" t="s">
        <v>23</v>
      </c>
      <c r="D3" s="2" t="s">
        <v>36</v>
      </c>
      <c r="E3" s="2" t="s">
        <v>49</v>
      </c>
      <c r="F3" s="2" t="s">
        <v>58</v>
      </c>
      <c r="G3" s="5">
        <v>-23.565068345138702</v>
      </c>
      <c r="H3" s="5">
        <v>-46.5596217854592</v>
      </c>
      <c r="I3" s="2" t="s">
        <v>71</v>
      </c>
      <c r="J3" s="6" t="s">
        <v>85</v>
      </c>
    </row>
    <row r="4" spans="1:10" ht="120" x14ac:dyDescent="0.3">
      <c r="A4" s="2">
        <v>3</v>
      </c>
      <c r="B4" s="2" t="s">
        <v>11</v>
      </c>
      <c r="C4" s="2" t="s">
        <v>24</v>
      </c>
      <c r="D4" s="2" t="s">
        <v>37</v>
      </c>
      <c r="E4" s="2" t="s">
        <v>50</v>
      </c>
      <c r="F4" s="2" t="s">
        <v>59</v>
      </c>
      <c r="G4" s="5">
        <v>-23.5991470396444</v>
      </c>
      <c r="H4" s="5">
        <v>-46.678570997417097</v>
      </c>
      <c r="I4" s="2" t="s">
        <v>72</v>
      </c>
      <c r="J4" s="6" t="s">
        <v>86</v>
      </c>
    </row>
    <row r="5" spans="1:10" ht="90" x14ac:dyDescent="0.3">
      <c r="A5" s="2">
        <v>4</v>
      </c>
      <c r="B5" s="2" t="s">
        <v>12</v>
      </c>
      <c r="C5" s="2" t="s">
        <v>25</v>
      </c>
      <c r="D5" s="2" t="s">
        <v>38</v>
      </c>
      <c r="E5" s="2" t="s">
        <v>50</v>
      </c>
      <c r="F5" s="2" t="s">
        <v>60</v>
      </c>
      <c r="G5" s="5">
        <v>-23.613677218433502</v>
      </c>
      <c r="H5" s="5">
        <v>-46.677028948662901</v>
      </c>
      <c r="I5" s="2" t="s">
        <v>73</v>
      </c>
      <c r="J5" s="6" t="s">
        <v>87</v>
      </c>
    </row>
    <row r="6" spans="1:10" ht="90" x14ac:dyDescent="0.3">
      <c r="A6" s="2">
        <v>5</v>
      </c>
      <c r="B6" s="2" t="s">
        <v>13</v>
      </c>
      <c r="C6" s="2" t="s">
        <v>26</v>
      </c>
      <c r="D6" s="2" t="s">
        <v>39</v>
      </c>
      <c r="E6" s="2" t="s">
        <v>51</v>
      </c>
      <c r="F6" s="2" t="s">
        <v>61</v>
      </c>
      <c r="G6" s="5">
        <v>-23.593920194416899</v>
      </c>
      <c r="H6" s="5">
        <v>-46.648095351113703</v>
      </c>
      <c r="I6" s="2" t="s">
        <v>74</v>
      </c>
      <c r="J6" s="7" t="s">
        <v>95</v>
      </c>
    </row>
    <row r="7" spans="1:10" ht="120" x14ac:dyDescent="0.3">
      <c r="A7" s="2">
        <v>6</v>
      </c>
      <c r="B7" s="2" t="s">
        <v>14</v>
      </c>
      <c r="C7" s="2" t="s">
        <v>27</v>
      </c>
      <c r="D7" s="2" t="s">
        <v>40</v>
      </c>
      <c r="E7" s="2" t="s">
        <v>50</v>
      </c>
      <c r="F7" s="2" t="s">
        <v>62</v>
      </c>
      <c r="G7" s="5">
        <v>-23.575634510491401</v>
      </c>
      <c r="H7" s="5">
        <v>-46.613552808856802</v>
      </c>
      <c r="I7" s="2" t="s">
        <v>75</v>
      </c>
      <c r="J7" s="7" t="s">
        <v>96</v>
      </c>
    </row>
    <row r="8" spans="1:10" ht="135" x14ac:dyDescent="0.3">
      <c r="A8" s="2">
        <v>7</v>
      </c>
      <c r="B8" s="2" t="s">
        <v>15</v>
      </c>
      <c r="C8" s="2" t="s">
        <v>28</v>
      </c>
      <c r="D8" s="2" t="s">
        <v>41</v>
      </c>
      <c r="E8" s="2" t="s">
        <v>49</v>
      </c>
      <c r="F8" s="2" t="s">
        <v>63</v>
      </c>
      <c r="G8" s="5">
        <v>-23.522158702824601</v>
      </c>
      <c r="H8" s="5">
        <v>-46.678934408174001</v>
      </c>
      <c r="I8" s="2" t="s">
        <v>76</v>
      </c>
      <c r="J8" s="7" t="s">
        <v>97</v>
      </c>
    </row>
    <row r="9" spans="1:10" ht="135" x14ac:dyDescent="0.3">
      <c r="A9" s="2">
        <v>8</v>
      </c>
      <c r="B9" s="2" t="s">
        <v>16</v>
      </c>
      <c r="C9" s="2" t="s">
        <v>29</v>
      </c>
      <c r="D9" s="2" t="s">
        <v>42</v>
      </c>
      <c r="E9" s="2" t="s">
        <v>50</v>
      </c>
      <c r="F9" s="2" t="s">
        <v>64</v>
      </c>
      <c r="G9" s="5">
        <v>-22.9921800608662</v>
      </c>
      <c r="H9" s="5">
        <v>-43.2332078007897</v>
      </c>
      <c r="I9" s="2" t="s">
        <v>77</v>
      </c>
      <c r="J9" s="7" t="s">
        <v>98</v>
      </c>
    </row>
    <row r="10" spans="1:10" ht="120" x14ac:dyDescent="0.3">
      <c r="A10" s="2">
        <v>9</v>
      </c>
      <c r="B10" s="2" t="s">
        <v>17</v>
      </c>
      <c r="C10" s="2" t="s">
        <v>30</v>
      </c>
      <c r="D10" s="2" t="s">
        <v>43</v>
      </c>
      <c r="E10" s="2" t="s">
        <v>52</v>
      </c>
      <c r="F10" s="2" t="s">
        <v>65</v>
      </c>
      <c r="G10" s="5">
        <v>-23.610874964873801</v>
      </c>
      <c r="H10" s="5">
        <v>-46.727313919915403</v>
      </c>
      <c r="I10" s="2" t="s">
        <v>78</v>
      </c>
      <c r="J10" s="7" t="s">
        <v>99</v>
      </c>
    </row>
    <row r="11" spans="1:10" ht="120" x14ac:dyDescent="0.3">
      <c r="A11" s="2">
        <v>10</v>
      </c>
      <c r="B11" s="2" t="s">
        <v>18</v>
      </c>
      <c r="C11" s="2" t="s">
        <v>31</v>
      </c>
      <c r="D11" s="2" t="s">
        <v>44</v>
      </c>
      <c r="E11" s="2" t="s">
        <v>53</v>
      </c>
      <c r="F11" s="2" t="s">
        <v>66</v>
      </c>
      <c r="G11" s="5">
        <v>-23.5783400959563</v>
      </c>
      <c r="H11" s="5">
        <v>-46.607402762157697</v>
      </c>
      <c r="I11" s="2" t="s">
        <v>79</v>
      </c>
      <c r="J11" s="7" t="s">
        <v>100</v>
      </c>
    </row>
    <row r="12" spans="1:10" ht="135" x14ac:dyDescent="0.3">
      <c r="A12" s="2">
        <v>11</v>
      </c>
      <c r="B12" s="2" t="s">
        <v>19</v>
      </c>
      <c r="C12" s="2" t="s">
        <v>32</v>
      </c>
      <c r="D12" s="2" t="s">
        <v>45</v>
      </c>
      <c r="E12" s="2" t="s">
        <v>54</v>
      </c>
      <c r="F12" s="2" t="s">
        <v>67</v>
      </c>
      <c r="G12" s="5">
        <v>-23.507433281574599</v>
      </c>
      <c r="H12" s="5">
        <v>-46.642048394178602</v>
      </c>
      <c r="I12" s="2" t="s">
        <v>80</v>
      </c>
      <c r="J12" s="7" t="s">
        <v>101</v>
      </c>
    </row>
    <row r="13" spans="1:10" ht="105" x14ac:dyDescent="0.3">
      <c r="A13" s="2">
        <v>12</v>
      </c>
      <c r="B13" s="2" t="s">
        <v>20</v>
      </c>
      <c r="C13" s="2" t="s">
        <v>33</v>
      </c>
      <c r="D13" s="2" t="s">
        <v>46</v>
      </c>
      <c r="E13" s="2" t="s">
        <v>55</v>
      </c>
      <c r="F13" s="2" t="s">
        <v>68</v>
      </c>
      <c r="G13" s="5">
        <v>-23.5302150936106</v>
      </c>
      <c r="H13" s="5">
        <v>-47.4767591922189</v>
      </c>
      <c r="I13" s="2" t="s">
        <v>81</v>
      </c>
      <c r="J13" s="7" t="s">
        <v>102</v>
      </c>
    </row>
    <row r="14" spans="1:10" ht="75" x14ac:dyDescent="0.3">
      <c r="A14" s="2">
        <v>13</v>
      </c>
      <c r="B14" s="2" t="s">
        <v>21</v>
      </c>
      <c r="C14" s="2" t="s">
        <v>34</v>
      </c>
      <c r="D14" s="2" t="s">
        <v>47</v>
      </c>
      <c r="E14" s="2" t="s">
        <v>56</v>
      </c>
      <c r="F14" s="2" t="s">
        <v>69</v>
      </c>
      <c r="G14" s="5">
        <v>-23.533931246797898</v>
      </c>
      <c r="H14" s="5">
        <v>-46.578965713083001</v>
      </c>
      <c r="I14" s="2" t="s">
        <v>82</v>
      </c>
      <c r="J14" s="7" t="s">
        <v>103</v>
      </c>
    </row>
    <row r="15" spans="1:10" ht="240" x14ac:dyDescent="0.3">
      <c r="A15" s="2">
        <v>14</v>
      </c>
      <c r="B15" s="2" t="s">
        <v>88</v>
      </c>
      <c r="C15" s="2" t="s">
        <v>89</v>
      </c>
      <c r="D15" s="2" t="s">
        <v>90</v>
      </c>
      <c r="E15" s="2" t="s">
        <v>91</v>
      </c>
      <c r="F15" s="2" t="s">
        <v>92</v>
      </c>
      <c r="G15" s="5">
        <v>-15.7845072342487</v>
      </c>
      <c r="H15" s="5">
        <v>-47.905430180135198</v>
      </c>
      <c r="I15" s="2" t="s">
        <v>93</v>
      </c>
      <c r="J15" s="7" t="s">
        <v>94</v>
      </c>
    </row>
    <row r="16" spans="1:10" x14ac:dyDescent="0.3">
      <c r="A16" s="8"/>
      <c r="B16" s="3"/>
    </row>
  </sheetData>
  <hyperlinks>
    <hyperlink ref="J2" r:id="rId1" xr:uid="{F0E7DA48-4542-4662-B324-98AAB5980816}"/>
    <hyperlink ref="J3" r:id="rId2" xr:uid="{1ECE2A34-C1FA-4226-B963-F3B3EC851E03}"/>
    <hyperlink ref="J4" r:id="rId3" xr:uid="{9F8D699E-C277-4829-B72F-0345C48408D4}"/>
    <hyperlink ref="J5" r:id="rId4" xr:uid="{79F98D77-1680-4CEC-B114-691A5DFC3B65}"/>
    <hyperlink ref="J15" r:id="rId5" xr:uid="{DF754958-5F13-44A2-AA70-A3D14A3866F6}"/>
    <hyperlink ref="J6" r:id="rId6" xr:uid="{D15A41DA-F622-496B-B16F-7F3054786A9A}"/>
    <hyperlink ref="J7" r:id="rId7" xr:uid="{6602C851-BA99-40ED-8B9A-8D56E08EB70A}"/>
    <hyperlink ref="J8" r:id="rId8" xr:uid="{39CBD185-91E7-46F0-BF63-94A6B25FCF26}"/>
    <hyperlink ref="J9" r:id="rId9" xr:uid="{76B67FC7-F89F-4940-9E3D-3594EA4037D6}"/>
    <hyperlink ref="J10" r:id="rId10" xr:uid="{4C05D7AB-6DE6-4C6F-88DA-16ABD5ED2765}"/>
    <hyperlink ref="J11" r:id="rId11" xr:uid="{69155F3F-297A-425C-9CB6-59E6A3BF2997}"/>
    <hyperlink ref="J12" r:id="rId12" xr:uid="{95F0B9CF-769C-488E-8F4C-C92FCFB5218E}"/>
    <hyperlink ref="J13" r:id="rId13" xr:uid="{DD19BB7D-7B35-4D4C-B521-C952C81FFCF6}"/>
    <hyperlink ref="J14" r:id="rId14" xr:uid="{1B28993B-8635-46FE-9893-7C69BDAB6856}"/>
  </hyperlinks>
  <pageMargins left="0.7" right="0.7" top="0.75" bottom="0.75" header="0.3" footer="0.3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D548-F768-4B03-91CF-6C229F136B63}">
  <dimension ref="A1:AU34"/>
  <sheetViews>
    <sheetView tabSelected="1" workbookViewId="0">
      <selection sqref="A1:B1"/>
    </sheetView>
  </sheetViews>
  <sheetFormatPr defaultRowHeight="14.4" x14ac:dyDescent="0.3"/>
  <cols>
    <col min="1" max="1" width="3" style="9" bestFit="1" customWidth="1"/>
    <col min="2" max="2" width="23.109375" style="9" bestFit="1" customWidth="1"/>
    <col min="3" max="4" width="13.6640625" style="9" customWidth="1"/>
    <col min="5" max="5" width="15.5546875" style="9" bestFit="1" customWidth="1"/>
    <col min="6" max="19" width="13.6640625" style="9" customWidth="1"/>
    <col min="20" max="20" width="15.5546875" style="9" bestFit="1" customWidth="1"/>
    <col min="21" max="34" width="13.6640625" style="9" customWidth="1"/>
    <col min="35" max="35" width="15.5546875" style="9" bestFit="1" customWidth="1"/>
    <col min="36" max="47" width="13.6640625" style="9" customWidth="1"/>
  </cols>
  <sheetData>
    <row r="1" spans="1:47" x14ac:dyDescent="0.3">
      <c r="A1" s="22" t="s">
        <v>132</v>
      </c>
      <c r="B1" s="22"/>
      <c r="C1" s="17" t="s">
        <v>129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6" t="s">
        <v>130</v>
      </c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5" t="s">
        <v>128</v>
      </c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</row>
    <row r="2" spans="1:47" x14ac:dyDescent="0.3">
      <c r="A2" s="18" t="s">
        <v>0</v>
      </c>
      <c r="B2" s="18" t="s">
        <v>1</v>
      </c>
      <c r="C2" s="19" t="s">
        <v>123</v>
      </c>
      <c r="D2" s="19" t="s">
        <v>126</v>
      </c>
      <c r="E2" s="19" t="s">
        <v>127</v>
      </c>
      <c r="F2" s="19" t="s">
        <v>124</v>
      </c>
      <c r="G2" s="19" t="s">
        <v>125</v>
      </c>
      <c r="H2" s="19" t="s">
        <v>113</v>
      </c>
      <c r="I2" s="19" t="s">
        <v>114</v>
      </c>
      <c r="J2" s="19" t="s">
        <v>115</v>
      </c>
      <c r="K2" s="19" t="s">
        <v>116</v>
      </c>
      <c r="L2" s="19" t="s">
        <v>117</v>
      </c>
      <c r="M2" s="19" t="s">
        <v>118</v>
      </c>
      <c r="N2" s="19" t="s">
        <v>119</v>
      </c>
      <c r="O2" s="19" t="s">
        <v>120</v>
      </c>
      <c r="P2" s="19" t="s">
        <v>121</v>
      </c>
      <c r="Q2" s="19" t="s">
        <v>122</v>
      </c>
      <c r="R2" s="20" t="s">
        <v>123</v>
      </c>
      <c r="S2" s="20" t="s">
        <v>126</v>
      </c>
      <c r="T2" s="20" t="s">
        <v>127</v>
      </c>
      <c r="U2" s="20" t="s">
        <v>124</v>
      </c>
      <c r="V2" s="20" t="s">
        <v>125</v>
      </c>
      <c r="W2" s="20" t="s">
        <v>113</v>
      </c>
      <c r="X2" s="20" t="s">
        <v>114</v>
      </c>
      <c r="Y2" s="20" t="s">
        <v>115</v>
      </c>
      <c r="Z2" s="20" t="s">
        <v>116</v>
      </c>
      <c r="AA2" s="20" t="s">
        <v>117</v>
      </c>
      <c r="AB2" s="20" t="s">
        <v>118</v>
      </c>
      <c r="AC2" s="20" t="s">
        <v>119</v>
      </c>
      <c r="AD2" s="20" t="s">
        <v>120</v>
      </c>
      <c r="AE2" s="20" t="s">
        <v>121</v>
      </c>
      <c r="AF2" s="20" t="s">
        <v>122</v>
      </c>
      <c r="AG2" s="21" t="s">
        <v>123</v>
      </c>
      <c r="AH2" s="21" t="s">
        <v>126</v>
      </c>
      <c r="AI2" s="21" t="s">
        <v>127</v>
      </c>
      <c r="AJ2" s="21" t="s">
        <v>124</v>
      </c>
      <c r="AK2" s="21" t="s">
        <v>125</v>
      </c>
      <c r="AL2" s="21" t="s">
        <v>113</v>
      </c>
      <c r="AM2" s="21" t="s">
        <v>114</v>
      </c>
      <c r="AN2" s="21" t="s">
        <v>115</v>
      </c>
      <c r="AO2" s="21" t="s">
        <v>116</v>
      </c>
      <c r="AP2" s="21" t="s">
        <v>117</v>
      </c>
      <c r="AQ2" s="21" t="s">
        <v>118</v>
      </c>
      <c r="AR2" s="21" t="s">
        <v>119</v>
      </c>
      <c r="AS2" s="21" t="s">
        <v>120</v>
      </c>
      <c r="AT2" s="21" t="s">
        <v>121</v>
      </c>
      <c r="AU2" s="21" t="s">
        <v>122</v>
      </c>
    </row>
    <row r="3" spans="1:47" x14ac:dyDescent="0.3">
      <c r="A3" s="9">
        <v>1</v>
      </c>
      <c r="B3" s="9" t="s">
        <v>9</v>
      </c>
      <c r="C3" s="13">
        <v>12094.717106180246</v>
      </c>
      <c r="D3" s="9">
        <f>INT(E3/100)</f>
        <v>109</v>
      </c>
      <c r="E3" s="14">
        <f>INT((H3*0.55)+((I3+J3)*0.48)+((K3+L3)*0.39)+(M3*0.39)+((N3+O3)*0.35)+((P3+Q3)*0.28))</f>
        <v>10936</v>
      </c>
      <c r="F3" s="14">
        <v>22669</v>
      </c>
      <c r="G3" s="14">
        <v>47549</v>
      </c>
      <c r="H3" s="14">
        <v>1152</v>
      </c>
      <c r="I3" s="14">
        <v>1984</v>
      </c>
      <c r="J3" s="14">
        <v>4460</v>
      </c>
      <c r="K3" s="14">
        <v>3337</v>
      </c>
      <c r="L3" s="14">
        <v>2579</v>
      </c>
      <c r="M3" s="14">
        <v>1336</v>
      </c>
      <c r="N3" s="14">
        <v>2203</v>
      </c>
      <c r="O3" s="14">
        <v>4677</v>
      </c>
      <c r="P3" s="14">
        <v>3791</v>
      </c>
      <c r="Q3" s="14">
        <v>3256</v>
      </c>
      <c r="R3" s="13">
        <v>11123.097185422914</v>
      </c>
      <c r="S3" s="9">
        <f>INT(T3/100)</f>
        <v>322</v>
      </c>
      <c r="T3" s="14">
        <f>INT((W3*0.55)+((X3+Y3)*0.48)+((Z3+AA3)*0.39)+(AB3*0.39)+((AC3+AD3)*0.35)+((AE3+AF3)*0.28))</f>
        <v>32297</v>
      </c>
      <c r="U3" s="14">
        <v>65747</v>
      </c>
      <c r="V3" s="14">
        <v>143324</v>
      </c>
      <c r="W3" s="14">
        <v>3932</v>
      </c>
      <c r="X3" s="14">
        <v>5531</v>
      </c>
      <c r="Y3" s="14">
        <v>12339</v>
      </c>
      <c r="Z3" s="14">
        <v>10075</v>
      </c>
      <c r="AA3" s="14">
        <v>8139</v>
      </c>
      <c r="AB3" s="14">
        <v>4403</v>
      </c>
      <c r="AC3" s="14">
        <v>6056</v>
      </c>
      <c r="AD3" s="14">
        <v>12819</v>
      </c>
      <c r="AE3" s="14">
        <v>11791</v>
      </c>
      <c r="AF3" s="14">
        <v>10103</v>
      </c>
      <c r="AG3" s="13">
        <v>8941.3402707524692</v>
      </c>
      <c r="AH3" s="9">
        <f>INT(AI3/100)</f>
        <v>475</v>
      </c>
      <c r="AI3" s="14">
        <f>INT((AL3*0.55)+((AM3+AN3)*0.48)+((AO3+AP3)*0.39)+(AQ3*0.39)+((AR3+AS3)*0.35)+((AT3+AU3)*0.28))</f>
        <v>47592</v>
      </c>
      <c r="AJ3" s="14">
        <v>92483</v>
      </c>
      <c r="AK3" s="14">
        <v>203257</v>
      </c>
      <c r="AL3" s="14">
        <v>6322</v>
      </c>
      <c r="AM3" s="14">
        <v>8973</v>
      </c>
      <c r="AN3" s="14">
        <v>18637</v>
      </c>
      <c r="AO3" s="14">
        <v>14747</v>
      </c>
      <c r="AP3" s="14">
        <v>11078</v>
      </c>
      <c r="AQ3" s="14">
        <v>6597</v>
      </c>
      <c r="AR3" s="14">
        <v>9240</v>
      </c>
      <c r="AS3" s="14">
        <v>18764</v>
      </c>
      <c r="AT3" s="14">
        <v>16566</v>
      </c>
      <c r="AU3" s="14">
        <v>13493</v>
      </c>
    </row>
    <row r="4" spans="1:47" x14ac:dyDescent="0.3">
      <c r="A4" s="9">
        <v>2</v>
      </c>
      <c r="B4" s="9" t="s">
        <v>10</v>
      </c>
      <c r="C4" s="13">
        <v>7348.4639805570141</v>
      </c>
      <c r="D4" s="9">
        <f>INT(E4/100)</f>
        <v>62</v>
      </c>
      <c r="E4" s="14">
        <f>INT((H4*0.55)+((I4+J4)*0.48)+((K4+L4)*0.39)+(M4*0.39)+((N4+O4)*0.35)+((P4+Q4)*0.28))</f>
        <v>6248</v>
      </c>
      <c r="F4" s="14">
        <v>11418</v>
      </c>
      <c r="G4" s="14">
        <v>29142</v>
      </c>
      <c r="H4" s="14">
        <v>803</v>
      </c>
      <c r="I4" s="14">
        <v>1022</v>
      </c>
      <c r="J4" s="14">
        <v>2098</v>
      </c>
      <c r="K4" s="14">
        <v>2094</v>
      </c>
      <c r="L4" s="14">
        <v>1869</v>
      </c>
      <c r="M4" s="14">
        <v>859</v>
      </c>
      <c r="N4" s="14">
        <v>1028</v>
      </c>
      <c r="O4" s="14">
        <v>2200</v>
      </c>
      <c r="P4" s="14">
        <v>2384</v>
      </c>
      <c r="Q4" s="14">
        <v>2255</v>
      </c>
      <c r="R4" s="13">
        <v>7044.2706220158534</v>
      </c>
      <c r="S4" s="9">
        <f>INT(T4/100)</f>
        <v>243</v>
      </c>
      <c r="T4" s="14">
        <f>INT((W4*0.55)+((X4+Y4)*0.48)+((Z4+AA4)*0.39)+(AB4*0.39)+((AC4+AD4)*0.35)+((AE4+AF4)*0.28))</f>
        <v>24364</v>
      </c>
      <c r="U4" s="14">
        <v>45658</v>
      </c>
      <c r="V4" s="14">
        <v>114176</v>
      </c>
      <c r="W4" s="14">
        <v>3380</v>
      </c>
      <c r="X4" s="14">
        <v>3435</v>
      </c>
      <c r="Y4" s="14">
        <v>7840</v>
      </c>
      <c r="Z4" s="14">
        <v>8604</v>
      </c>
      <c r="AA4" s="14">
        <v>7581</v>
      </c>
      <c r="AB4" s="14">
        <v>3210</v>
      </c>
      <c r="AC4" s="14">
        <v>3564</v>
      </c>
      <c r="AD4" s="14">
        <v>8565</v>
      </c>
      <c r="AE4" s="14">
        <v>9890</v>
      </c>
      <c r="AF4" s="14">
        <v>8981</v>
      </c>
      <c r="AG4" s="13">
        <v>6300.5956905524408</v>
      </c>
      <c r="AH4" s="9">
        <f>INT(AI4/100)</f>
        <v>405</v>
      </c>
      <c r="AI4" s="14">
        <f>INT((AL4*0.55)+((AM4+AN4)*0.48)+((AO4+AP4)*0.39)+(AQ4*0.39)+((AR4+AS4)*0.35)+((AT4+AU4)*0.28))</f>
        <v>40570</v>
      </c>
      <c r="AJ4" s="14">
        <v>74940</v>
      </c>
      <c r="AK4" s="14">
        <v>189699</v>
      </c>
      <c r="AL4" s="14">
        <v>5870</v>
      </c>
      <c r="AM4" s="14">
        <v>6084</v>
      </c>
      <c r="AN4" s="14">
        <v>13230</v>
      </c>
      <c r="AO4" s="14">
        <v>13928</v>
      </c>
      <c r="AP4" s="14">
        <v>12164</v>
      </c>
      <c r="AQ4" s="14">
        <v>5534</v>
      </c>
      <c r="AR4" s="14">
        <v>6163</v>
      </c>
      <c r="AS4" s="14">
        <v>14207</v>
      </c>
      <c r="AT4" s="14">
        <v>15990</v>
      </c>
      <c r="AU4" s="14">
        <v>14752</v>
      </c>
    </row>
    <row r="5" spans="1:47" x14ac:dyDescent="0.3">
      <c r="A5" s="9">
        <v>3</v>
      </c>
      <c r="B5" s="9" t="s">
        <v>11</v>
      </c>
      <c r="C5" s="13">
        <v>15692.70495438089</v>
      </c>
      <c r="D5" s="9">
        <f>INT(E5/100)</f>
        <v>103</v>
      </c>
      <c r="E5" s="14">
        <f>INT((H5*0.55)+((I5+J5)*0.48)+((K5+L5)*0.39)+(M5*0.39)+((N5+O5)*0.35)+((P5+Q5)*0.28))</f>
        <v>10337</v>
      </c>
      <c r="F5" s="14">
        <v>20715</v>
      </c>
      <c r="G5" s="14">
        <v>43213</v>
      </c>
      <c r="H5" s="14">
        <v>1237</v>
      </c>
      <c r="I5" s="14">
        <v>2016</v>
      </c>
      <c r="J5" s="14">
        <v>4368</v>
      </c>
      <c r="K5" s="14">
        <v>3019</v>
      </c>
      <c r="L5" s="14">
        <v>2261</v>
      </c>
      <c r="M5" s="14">
        <v>1163</v>
      </c>
      <c r="N5" s="14">
        <v>2082</v>
      </c>
      <c r="O5" s="14">
        <v>4614</v>
      </c>
      <c r="P5" s="14">
        <v>3464</v>
      </c>
      <c r="Q5" s="14">
        <v>2739</v>
      </c>
      <c r="R5" s="13">
        <v>17323.091175242436</v>
      </c>
      <c r="S5" s="9">
        <f>INT(T5/100)</f>
        <v>204</v>
      </c>
      <c r="T5" s="14">
        <f>INT((W5*0.55)+((X5+Y5)*0.48)+((Z5+AA5)*0.39)+(AB5*0.39)+((AC5+AD5)*0.35)+((AE5+AF5)*0.28))</f>
        <v>20414</v>
      </c>
      <c r="U5" s="14">
        <v>43106</v>
      </c>
      <c r="V5" s="14">
        <v>92312</v>
      </c>
      <c r="W5" s="14">
        <v>2088</v>
      </c>
      <c r="X5" s="14">
        <v>3349</v>
      </c>
      <c r="Y5" s="14">
        <v>8217</v>
      </c>
      <c r="Z5" s="14">
        <v>6694</v>
      </c>
      <c r="AA5" s="14">
        <v>4968</v>
      </c>
      <c r="AB5" s="14">
        <v>2083</v>
      </c>
      <c r="AC5" s="14">
        <v>3815</v>
      </c>
      <c r="AD5" s="14">
        <v>8907</v>
      </c>
      <c r="AE5" s="14">
        <v>7689</v>
      </c>
      <c r="AF5" s="14">
        <v>6244</v>
      </c>
      <c r="AG5" s="13">
        <v>14741.467628376782</v>
      </c>
      <c r="AH5" s="9">
        <f>INT(AI5/100)</f>
        <v>206</v>
      </c>
      <c r="AI5" s="14">
        <f>INT((AL5*0.55)+((AM5+AN5)*0.48)+((AO5+AP5)*0.39)+(AQ5*0.39)+((AR5+AS5)*0.35)+((AT5+AU5)*0.28))</f>
        <v>20623</v>
      </c>
      <c r="AJ5" s="14">
        <v>42570</v>
      </c>
      <c r="AK5" s="14">
        <v>98234</v>
      </c>
      <c r="AL5" s="14">
        <v>2515</v>
      </c>
      <c r="AM5" s="14">
        <v>3008</v>
      </c>
      <c r="AN5" s="14">
        <v>7080</v>
      </c>
      <c r="AO5" s="14">
        <v>7129</v>
      </c>
      <c r="AP5" s="14">
        <v>5853</v>
      </c>
      <c r="AQ5" s="14">
        <v>2578</v>
      </c>
      <c r="AR5" s="14">
        <v>3332</v>
      </c>
      <c r="AS5" s="14">
        <v>8070</v>
      </c>
      <c r="AT5" s="14">
        <v>8564</v>
      </c>
      <c r="AU5" s="14">
        <v>6932</v>
      </c>
    </row>
    <row r="6" spans="1:47" x14ac:dyDescent="0.3">
      <c r="A6" s="9">
        <v>4</v>
      </c>
      <c r="B6" s="9" t="s">
        <v>12</v>
      </c>
      <c r="C6" s="13">
        <v>15001.095535397993</v>
      </c>
      <c r="D6" s="9">
        <f>INT(E6/100)</f>
        <v>87</v>
      </c>
      <c r="E6" s="14">
        <f>INT((H6*0.55)+((I6+J6)*0.48)+((K6+L6)*0.39)+(M6*0.39)+((N6+O6)*0.35)+((P6+Q6)*0.28))</f>
        <v>8719</v>
      </c>
      <c r="F6" s="14">
        <v>18631</v>
      </c>
      <c r="G6" s="14">
        <v>40248</v>
      </c>
      <c r="H6" s="14">
        <v>857</v>
      </c>
      <c r="I6" s="14">
        <v>1342</v>
      </c>
      <c r="J6" s="14">
        <v>3447</v>
      </c>
      <c r="K6" s="14">
        <v>2890</v>
      </c>
      <c r="L6" s="14">
        <v>2151</v>
      </c>
      <c r="M6" s="14">
        <v>892</v>
      </c>
      <c r="N6" s="14">
        <v>1563</v>
      </c>
      <c r="O6" s="14">
        <v>3895</v>
      </c>
      <c r="P6" s="14">
        <v>3406</v>
      </c>
      <c r="Q6" s="14">
        <v>2755</v>
      </c>
      <c r="R6" s="13">
        <v>14658.30338314312</v>
      </c>
      <c r="S6" s="9">
        <f>INT(T6/100)</f>
        <v>252</v>
      </c>
      <c r="T6" s="14">
        <f>INT((W6*0.55)+((X6+Y6)*0.48)+((Z6+AA6)*0.39)+(AB6*0.39)+((AC6+AD6)*0.35)+((AE6+AF6)*0.28))</f>
        <v>25256</v>
      </c>
      <c r="U6" s="14">
        <v>50994</v>
      </c>
      <c r="V6" s="14">
        <v>112316</v>
      </c>
      <c r="W6" s="14">
        <v>2821</v>
      </c>
      <c r="X6" s="14">
        <v>4019</v>
      </c>
      <c r="Y6" s="14">
        <v>9871</v>
      </c>
      <c r="Z6" s="14">
        <v>8417</v>
      </c>
      <c r="AA6" s="14">
        <v>6236</v>
      </c>
      <c r="AB6" s="14">
        <v>2820</v>
      </c>
      <c r="AC6" s="14">
        <v>4550</v>
      </c>
      <c r="AD6" s="14">
        <v>10906</v>
      </c>
      <c r="AE6" s="14">
        <v>9757</v>
      </c>
      <c r="AF6" s="14">
        <v>7434</v>
      </c>
      <c r="AG6" s="13">
        <v>14639.906479314295</v>
      </c>
      <c r="AH6" s="9">
        <f>INT(AI6/100)</f>
        <v>221</v>
      </c>
      <c r="AI6" s="14">
        <f>INT((AL6*0.55)+((AM6+AN6)*0.48)+((AO6+AP6)*0.39)+(AQ6*0.39)+((AR6+AS6)*0.35)+((AT6+AU6)*0.28))</f>
        <v>22169</v>
      </c>
      <c r="AJ6" s="14">
        <v>43750</v>
      </c>
      <c r="AK6" s="14">
        <v>100094</v>
      </c>
      <c r="AL6" s="14">
        <v>2661</v>
      </c>
      <c r="AM6" s="14">
        <v>3665</v>
      </c>
      <c r="AN6" s="14">
        <v>8393</v>
      </c>
      <c r="AO6" s="14">
        <v>7356</v>
      </c>
      <c r="AP6" s="14">
        <v>5942</v>
      </c>
      <c r="AQ6" s="14">
        <v>2507</v>
      </c>
      <c r="AR6" s="14">
        <v>3826</v>
      </c>
      <c r="AS6" s="14">
        <v>8943</v>
      </c>
      <c r="AT6" s="14">
        <v>8383</v>
      </c>
      <c r="AU6" s="14">
        <v>6919</v>
      </c>
    </row>
    <row r="7" spans="1:47" x14ac:dyDescent="0.3">
      <c r="A7" s="9">
        <v>5</v>
      </c>
      <c r="B7" s="9" t="s">
        <v>13</v>
      </c>
      <c r="C7" s="13">
        <v>12613.849604574372</v>
      </c>
      <c r="D7" s="9">
        <f>INT(E7/100)</f>
        <v>61</v>
      </c>
      <c r="E7" s="14">
        <f>INT((H7*0.55)+((I7+J7)*0.48)+((K7+L7)*0.39)+(M7*0.39)+((N7+O7)*0.35)+((P7+Q7)*0.28))</f>
        <v>6157</v>
      </c>
      <c r="F7" s="14">
        <v>12417</v>
      </c>
      <c r="G7" s="14">
        <v>27751</v>
      </c>
      <c r="H7" s="14">
        <v>821</v>
      </c>
      <c r="I7" s="14">
        <v>1242</v>
      </c>
      <c r="J7" s="14">
        <v>2308</v>
      </c>
      <c r="K7" s="14">
        <v>1808</v>
      </c>
      <c r="L7" s="14">
        <v>1420</v>
      </c>
      <c r="M7" s="14">
        <v>857</v>
      </c>
      <c r="N7" s="14">
        <v>1294</v>
      </c>
      <c r="O7" s="14">
        <v>2377</v>
      </c>
      <c r="P7" s="14">
        <v>2115</v>
      </c>
      <c r="Q7" s="14">
        <v>1900</v>
      </c>
      <c r="R7" s="13">
        <v>13145.238656687321</v>
      </c>
      <c r="S7" s="9">
        <f>INT(T7/100)</f>
        <v>219</v>
      </c>
      <c r="T7" s="14">
        <f>INT((W7*0.55)+((X7+Y7)*0.48)+((Z7+AA7)*0.39)+(AB7*0.39)+((AC7+AD7)*0.35)+((AE7+AF7)*0.28))</f>
        <v>21968</v>
      </c>
      <c r="U7" s="14">
        <v>46162</v>
      </c>
      <c r="V7" s="14">
        <v>100922</v>
      </c>
      <c r="W7" s="14">
        <v>2455</v>
      </c>
      <c r="X7" s="14">
        <v>3649</v>
      </c>
      <c r="Y7" s="14">
        <v>8222</v>
      </c>
      <c r="Z7" s="14">
        <v>6861</v>
      </c>
      <c r="AA7" s="14">
        <v>5839</v>
      </c>
      <c r="AB7" s="14">
        <v>2766</v>
      </c>
      <c r="AC7" s="14">
        <v>4182</v>
      </c>
      <c r="AD7" s="14">
        <v>8917</v>
      </c>
      <c r="AE7" s="14">
        <v>8185</v>
      </c>
      <c r="AF7" s="14">
        <v>7187</v>
      </c>
      <c r="AG7" s="13">
        <v>13168.238906033206</v>
      </c>
      <c r="AH7" s="9">
        <f>INT(AI7/100)</f>
        <v>488</v>
      </c>
      <c r="AI7" s="14">
        <f>INT((AL7*0.55)+((AM7+AN7)*0.48)+((AO7+AP7)*0.39)+(AQ7*0.39)+((AR7+AS7)*0.35)+((AT7+AU7)*0.28))</f>
        <v>48851</v>
      </c>
      <c r="AJ7" s="14">
        <v>100908</v>
      </c>
      <c r="AK7" s="14">
        <v>222378</v>
      </c>
      <c r="AL7" s="14">
        <v>5386</v>
      </c>
      <c r="AM7" s="14">
        <v>7706</v>
      </c>
      <c r="AN7" s="14">
        <v>18828</v>
      </c>
      <c r="AO7" s="14">
        <v>15876</v>
      </c>
      <c r="AP7" s="14">
        <v>12714</v>
      </c>
      <c r="AQ7" s="14">
        <v>5686</v>
      </c>
      <c r="AR7" s="14">
        <v>8720</v>
      </c>
      <c r="AS7" s="14">
        <v>20092</v>
      </c>
      <c r="AT7" s="14">
        <v>18721</v>
      </c>
      <c r="AU7" s="14">
        <v>15926</v>
      </c>
    </row>
    <row r="8" spans="1:47" x14ac:dyDescent="0.3">
      <c r="A8" s="9">
        <v>6</v>
      </c>
      <c r="B8" s="9" t="s">
        <v>14</v>
      </c>
      <c r="C8" s="13">
        <v>8520.8046793936701</v>
      </c>
      <c r="D8" s="9">
        <f>INT(E8/100)</f>
        <v>83</v>
      </c>
      <c r="E8" s="14">
        <f>INT((H8*0.55)+((I8+J8)*0.48)+((K8+L8)*0.39)+(M8*0.39)+((N8+O8)*0.35)+((P8+Q8)*0.28))</f>
        <v>8357</v>
      </c>
      <c r="F8" s="14">
        <v>15767</v>
      </c>
      <c r="G8" s="14">
        <v>38989</v>
      </c>
      <c r="H8" s="14">
        <v>1085</v>
      </c>
      <c r="I8" s="14">
        <v>1153</v>
      </c>
      <c r="J8" s="14">
        <v>2933</v>
      </c>
      <c r="K8" s="14">
        <v>3035</v>
      </c>
      <c r="L8" s="14">
        <v>2228</v>
      </c>
      <c r="M8" s="14">
        <v>1061</v>
      </c>
      <c r="N8" s="14">
        <v>1266</v>
      </c>
      <c r="O8" s="14">
        <v>3355</v>
      </c>
      <c r="P8" s="14">
        <v>3365</v>
      </c>
      <c r="Q8" s="14">
        <v>2761</v>
      </c>
      <c r="R8" s="13">
        <v>8529.399953832195</v>
      </c>
      <c r="S8" s="9">
        <f>INT(T8/100)</f>
        <v>194</v>
      </c>
      <c r="T8" s="14">
        <f>INT((W8*0.55)+((X8+Y8)*0.48)+((Z8+AA8)*0.39)+(AB8*0.39)+((AC8+AD8)*0.35)+((AE8+AF8)*0.28))</f>
        <v>19458</v>
      </c>
      <c r="U8" s="14">
        <v>36389</v>
      </c>
      <c r="V8" s="14">
        <v>87062</v>
      </c>
      <c r="W8" s="14">
        <v>2494</v>
      </c>
      <c r="X8" s="14">
        <v>3116</v>
      </c>
      <c r="Y8" s="14">
        <v>7020</v>
      </c>
      <c r="Z8" s="14">
        <v>6548</v>
      </c>
      <c r="AA8" s="14">
        <v>5157</v>
      </c>
      <c r="AB8" s="14">
        <v>2469</v>
      </c>
      <c r="AC8" s="14">
        <v>3169</v>
      </c>
      <c r="AD8" s="14">
        <v>7601</v>
      </c>
      <c r="AE8" s="14">
        <v>7717</v>
      </c>
      <c r="AF8" s="14">
        <v>6297</v>
      </c>
      <c r="AG8" s="13">
        <v>8377.757527769445</v>
      </c>
      <c r="AH8" s="9">
        <f>INT(AI8/100)</f>
        <v>498</v>
      </c>
      <c r="AI8" s="14">
        <f>INT((AL8*0.55)+((AM8+AN8)*0.48)+((AO8+AP8)*0.39)+(AQ8*0.39)+((AR8+AS8)*0.35)+((AT8+AU8)*0.28))</f>
        <v>49855</v>
      </c>
      <c r="AJ8" s="14">
        <v>93268</v>
      </c>
      <c r="AK8" s="14">
        <v>212839</v>
      </c>
      <c r="AL8" s="14">
        <v>6457</v>
      </c>
      <c r="AM8" s="14">
        <v>8904</v>
      </c>
      <c r="AN8" s="14">
        <v>19463</v>
      </c>
      <c r="AO8" s="14">
        <v>15633</v>
      </c>
      <c r="AP8" s="14">
        <v>11894</v>
      </c>
      <c r="AQ8" s="14">
        <v>7234</v>
      </c>
      <c r="AR8" s="14">
        <v>9355</v>
      </c>
      <c r="AS8" s="14">
        <v>19700</v>
      </c>
      <c r="AT8" s="14">
        <v>17500</v>
      </c>
      <c r="AU8" s="14">
        <v>14506</v>
      </c>
    </row>
    <row r="9" spans="1:47" x14ac:dyDescent="0.3">
      <c r="A9" s="9">
        <v>7</v>
      </c>
      <c r="B9" s="9" t="s">
        <v>15</v>
      </c>
      <c r="C9" s="13">
        <v>13529.715302155228</v>
      </c>
      <c r="D9" s="9">
        <f>INT(E9/100)</f>
        <v>39</v>
      </c>
      <c r="E9" s="14">
        <f>INT((H9*0.55)+((I9+J9)*0.48)+((K9+L9)*0.39)+(M9*0.39)+((N9+O9)*0.35)+((P9+Q9)*0.28))</f>
        <v>3914</v>
      </c>
      <c r="F9" s="14">
        <v>7099</v>
      </c>
      <c r="G9" s="14">
        <v>16957</v>
      </c>
      <c r="H9" s="14">
        <v>358</v>
      </c>
      <c r="I9" s="14">
        <v>538</v>
      </c>
      <c r="J9" s="14">
        <v>1547</v>
      </c>
      <c r="K9" s="14">
        <v>1583</v>
      </c>
      <c r="L9" s="14">
        <v>951</v>
      </c>
      <c r="M9" s="14">
        <v>414</v>
      </c>
      <c r="N9" s="14">
        <v>552</v>
      </c>
      <c r="O9" s="14">
        <v>1771</v>
      </c>
      <c r="P9" s="14">
        <v>1690</v>
      </c>
      <c r="Q9" s="14">
        <v>1004</v>
      </c>
      <c r="R9" s="13">
        <v>11062.476978881552</v>
      </c>
      <c r="S9" s="9">
        <f>INT(T9/100)</f>
        <v>254</v>
      </c>
      <c r="T9" s="14">
        <f>INT((W9*0.55)+((X9+Y9)*0.48)+((Z9+AA9)*0.39)+(AB9*0.39)+((AC9+AD9)*0.35)+((AE9+AF9)*0.28))</f>
        <v>25416</v>
      </c>
      <c r="U9" s="14">
        <v>50051</v>
      </c>
      <c r="V9" s="14">
        <v>113740</v>
      </c>
      <c r="W9" s="14">
        <v>2942</v>
      </c>
      <c r="X9" s="14">
        <v>3655</v>
      </c>
      <c r="Y9" s="14">
        <v>9468</v>
      </c>
      <c r="Z9" s="14">
        <v>8794</v>
      </c>
      <c r="AA9" s="14">
        <v>6515</v>
      </c>
      <c r="AB9" s="14">
        <v>3082</v>
      </c>
      <c r="AC9" s="14">
        <v>4124</v>
      </c>
      <c r="AD9" s="14">
        <v>10746</v>
      </c>
      <c r="AE9" s="14">
        <v>10267</v>
      </c>
      <c r="AF9" s="14">
        <v>8028</v>
      </c>
      <c r="AG9" s="13">
        <v>8536.9378271771984</v>
      </c>
      <c r="AH9" s="9">
        <f>INT(AI9/100)</f>
        <v>384</v>
      </c>
      <c r="AI9" s="14">
        <f>INT((AL9*0.55)+((AM9+AN9)*0.48)+((AO9+AP9)*0.39)+(AQ9*0.39)+((AR9+AS9)*0.35)+((AT9+AU9)*0.28))</f>
        <v>38435</v>
      </c>
      <c r="AJ9" s="14">
        <v>75372</v>
      </c>
      <c r="AK9" s="14">
        <v>174363</v>
      </c>
      <c r="AL9" s="14">
        <v>4818</v>
      </c>
      <c r="AM9" s="14">
        <v>6022</v>
      </c>
      <c r="AN9" s="14">
        <v>13855</v>
      </c>
      <c r="AO9" s="14">
        <v>12727</v>
      </c>
      <c r="AP9" s="14">
        <v>10312</v>
      </c>
      <c r="AQ9" s="14">
        <v>5050</v>
      </c>
      <c r="AR9" s="14">
        <v>6446</v>
      </c>
      <c r="AS9" s="14">
        <v>15302</v>
      </c>
      <c r="AT9" s="14">
        <v>14868</v>
      </c>
      <c r="AU9" s="14">
        <v>12554</v>
      </c>
    </row>
    <row r="10" spans="1:47" x14ac:dyDescent="0.3">
      <c r="A10" s="9">
        <v>8</v>
      </c>
      <c r="B10" s="9" t="s">
        <v>16</v>
      </c>
      <c r="C10" s="13">
        <v>10247.808025123813</v>
      </c>
      <c r="D10" s="9">
        <f>INT(E10/100)</f>
        <v>40</v>
      </c>
      <c r="E10" s="14">
        <f>INT((H10*0.55)+((I10+J10)*0.48)+((K10+L10)*0.39)+(M10*0.39)+((N10+O10)*0.35)+((P10+Q10)*0.28))</f>
        <v>4095</v>
      </c>
      <c r="F10" s="14">
        <v>8279</v>
      </c>
      <c r="G10" s="14">
        <v>19485</v>
      </c>
      <c r="H10" s="14">
        <v>679</v>
      </c>
      <c r="I10" s="14">
        <v>656</v>
      </c>
      <c r="J10" s="14">
        <v>1411</v>
      </c>
      <c r="K10" s="14">
        <v>1347</v>
      </c>
      <c r="L10" s="14">
        <v>1101</v>
      </c>
      <c r="M10" s="14">
        <v>606</v>
      </c>
      <c r="N10" s="14">
        <v>659</v>
      </c>
      <c r="O10" s="14">
        <v>1408</v>
      </c>
      <c r="P10" s="14">
        <v>1600</v>
      </c>
      <c r="Q10" s="14">
        <v>1313</v>
      </c>
      <c r="R10" s="13">
        <v>7273.9426393653048</v>
      </c>
      <c r="S10" s="9">
        <f>INT(T10/100)</f>
        <v>217</v>
      </c>
      <c r="T10" s="14">
        <f>INT((W10*0.55)+((X10+Y10)*0.48)+((Z10+AA10)*0.39)+(AB10*0.39)+((AC10+AD10)*0.35)+((AE10+AF10)*0.28))</f>
        <v>21709</v>
      </c>
      <c r="U10" s="14">
        <v>42855</v>
      </c>
      <c r="V10" s="14">
        <v>96740</v>
      </c>
      <c r="W10" s="14">
        <v>3714</v>
      </c>
      <c r="X10" s="14">
        <v>3982</v>
      </c>
      <c r="Y10" s="14">
        <v>7634</v>
      </c>
      <c r="Z10" s="14">
        <v>6952</v>
      </c>
      <c r="AA10" s="14">
        <v>4951</v>
      </c>
      <c r="AB10" s="14">
        <v>3785</v>
      </c>
      <c r="AC10" s="14">
        <v>3932</v>
      </c>
      <c r="AD10" s="14">
        <v>8091</v>
      </c>
      <c r="AE10" s="14">
        <v>7528</v>
      </c>
      <c r="AF10" s="14">
        <v>5918</v>
      </c>
      <c r="AG10" s="13">
        <v>10969.86617560227</v>
      </c>
      <c r="AH10" s="9">
        <f>INT(AI10/100)</f>
        <v>81</v>
      </c>
      <c r="AI10" s="14">
        <f>INT((AL10*0.55)+((AM10+AN10)*0.48)+((AO10+AP10)*0.39)+(AQ10*0.39)+((AR10+AS10)*0.35)+((AT10+AU10)*0.28))</f>
        <v>8177</v>
      </c>
      <c r="AJ10" s="14">
        <v>16936</v>
      </c>
      <c r="AK10" s="14">
        <v>38469</v>
      </c>
      <c r="AL10" s="14">
        <v>1272</v>
      </c>
      <c r="AM10" s="14">
        <v>1410</v>
      </c>
      <c r="AN10" s="14">
        <v>2974</v>
      </c>
      <c r="AO10" s="14">
        <v>2590</v>
      </c>
      <c r="AP10" s="14">
        <v>2129</v>
      </c>
      <c r="AQ10" s="14">
        <v>1228</v>
      </c>
      <c r="AR10" s="14">
        <v>1402</v>
      </c>
      <c r="AS10" s="14">
        <v>3032</v>
      </c>
      <c r="AT10" s="14">
        <v>2903</v>
      </c>
      <c r="AU10" s="14">
        <v>2463</v>
      </c>
    </row>
    <row r="11" spans="1:47" x14ac:dyDescent="0.3">
      <c r="A11" s="9">
        <v>9</v>
      </c>
      <c r="B11" s="9" t="s">
        <v>17</v>
      </c>
      <c r="C11" s="13">
        <v>3587.5757757543884</v>
      </c>
      <c r="D11" s="9">
        <f>INT(E11/100)</f>
        <v>193</v>
      </c>
      <c r="E11" s="14">
        <f>INT((H11*0.55)+((I11+J11)*0.48)+((K11+L11)*0.39)+(M11*0.39)+((N11+O11)*0.35)+((P11+Q11)*0.28))</f>
        <v>19330</v>
      </c>
      <c r="F11" s="14">
        <v>30422</v>
      </c>
      <c r="G11" s="14">
        <v>81802</v>
      </c>
      <c r="H11" s="14">
        <v>4021</v>
      </c>
      <c r="I11" s="14">
        <v>3615</v>
      </c>
      <c r="J11" s="14">
        <v>6711</v>
      </c>
      <c r="K11" s="14">
        <v>5825</v>
      </c>
      <c r="L11" s="14">
        <v>3633</v>
      </c>
      <c r="M11" s="14">
        <v>3848</v>
      </c>
      <c r="N11" s="14">
        <v>3720</v>
      </c>
      <c r="O11" s="14">
        <v>7433</v>
      </c>
      <c r="P11" s="14">
        <v>6684</v>
      </c>
      <c r="Q11" s="14">
        <v>4278</v>
      </c>
      <c r="R11" s="13">
        <v>10475.780387842988</v>
      </c>
      <c r="S11" s="9">
        <f>INT(T11/100)</f>
        <v>201</v>
      </c>
      <c r="T11" s="14">
        <f>INT((W11*0.55)+((X11+Y11)*0.48)+((Z11+AA11)*0.39)+(AB11*0.39)+((AC11+AD11)*0.35)+((AE11+AF11)*0.28))</f>
        <v>20181</v>
      </c>
      <c r="U11" s="14">
        <v>36226</v>
      </c>
      <c r="V11" s="14">
        <v>89935</v>
      </c>
      <c r="W11" s="14">
        <v>2667</v>
      </c>
      <c r="X11" s="14">
        <v>2923</v>
      </c>
      <c r="Y11" s="14">
        <v>6846</v>
      </c>
      <c r="Z11" s="14">
        <v>7229</v>
      </c>
      <c r="AA11" s="14">
        <v>5674</v>
      </c>
      <c r="AB11" s="14">
        <v>2789</v>
      </c>
      <c r="AC11" s="14">
        <v>3104</v>
      </c>
      <c r="AD11" s="14">
        <v>7699</v>
      </c>
      <c r="AE11" s="14">
        <v>8171</v>
      </c>
      <c r="AF11" s="14">
        <v>6561</v>
      </c>
      <c r="AG11" s="13">
        <v>10146.777752046122</v>
      </c>
      <c r="AH11" s="9">
        <f>INT(AI11/100)</f>
        <v>341</v>
      </c>
      <c r="AI11" s="14">
        <f>INT((AL11*0.55)+((AM11+AN11)*0.48)+((AO11+AP11)*0.39)+(AQ11*0.39)+((AR11+AS11)*0.35)+((AT11+AU11)*0.28))</f>
        <v>34179</v>
      </c>
      <c r="AJ11" s="14">
        <v>59503</v>
      </c>
      <c r="AK11" s="14">
        <v>146430</v>
      </c>
      <c r="AL11" s="14">
        <v>4308</v>
      </c>
      <c r="AM11" s="14">
        <v>5089</v>
      </c>
      <c r="AN11" s="14">
        <v>12662</v>
      </c>
      <c r="AO11" s="14">
        <v>11948</v>
      </c>
      <c r="AP11" s="14">
        <v>8561</v>
      </c>
      <c r="AQ11" s="14">
        <v>4416</v>
      </c>
      <c r="AR11" s="14">
        <v>5834</v>
      </c>
      <c r="AS11" s="14">
        <v>14105</v>
      </c>
      <c r="AT11" s="14">
        <v>13691</v>
      </c>
      <c r="AU11" s="14">
        <v>9846</v>
      </c>
    </row>
    <row r="12" spans="1:47" x14ac:dyDescent="0.3">
      <c r="A12" s="9">
        <v>10</v>
      </c>
      <c r="B12" s="9" t="s">
        <v>18</v>
      </c>
      <c r="C12" s="13">
        <v>9165.1420974899975</v>
      </c>
      <c r="D12" s="9">
        <f>INT(E12/100)</f>
        <v>71</v>
      </c>
      <c r="E12" s="14">
        <f>INT((H12*0.55)+((I12+J12)*0.48)+((K12+L12)*0.39)+(M12*0.39)+((N12+O12)*0.35)+((P12+Q12)*0.28))</f>
        <v>7183</v>
      </c>
      <c r="F12" s="14">
        <v>13745</v>
      </c>
      <c r="G12" s="14">
        <v>33812</v>
      </c>
      <c r="H12" s="14">
        <v>884</v>
      </c>
      <c r="I12" s="14">
        <v>1032</v>
      </c>
      <c r="J12" s="14">
        <v>2480</v>
      </c>
      <c r="K12" s="14">
        <v>2580</v>
      </c>
      <c r="L12" s="14">
        <v>1995</v>
      </c>
      <c r="M12" s="14">
        <v>883</v>
      </c>
      <c r="N12" s="14">
        <v>1108</v>
      </c>
      <c r="O12" s="14">
        <v>2873</v>
      </c>
      <c r="P12" s="14">
        <v>2903</v>
      </c>
      <c r="Q12" s="14">
        <v>2417</v>
      </c>
      <c r="R12" s="13">
        <v>7617.1753594978227</v>
      </c>
      <c r="S12" s="9">
        <f>INT(T12/100)</f>
        <v>185</v>
      </c>
      <c r="T12" s="14">
        <f>INT((W12*0.55)+((X12+Y12)*0.48)+((Z12+AA12)*0.39)+(AB12*0.39)+((AC12+AD12)*0.35)+((AE12+AF12)*0.28))</f>
        <v>18520</v>
      </c>
      <c r="U12" s="14">
        <v>34729</v>
      </c>
      <c r="V12" s="14">
        <v>85293</v>
      </c>
      <c r="W12" s="14">
        <v>2417</v>
      </c>
      <c r="X12" s="14">
        <v>2761</v>
      </c>
      <c r="Y12" s="14">
        <v>6523</v>
      </c>
      <c r="Z12" s="14">
        <v>6280</v>
      </c>
      <c r="AA12" s="14">
        <v>5031</v>
      </c>
      <c r="AB12" s="14">
        <v>2458</v>
      </c>
      <c r="AC12" s="14">
        <v>2986</v>
      </c>
      <c r="AD12" s="14">
        <v>7125</v>
      </c>
      <c r="AE12" s="14">
        <v>7415</v>
      </c>
      <c r="AF12" s="14">
        <v>6250</v>
      </c>
      <c r="AG12" s="13">
        <v>8274.582531815362</v>
      </c>
      <c r="AH12" s="9">
        <f>INT(AI12/100)</f>
        <v>484</v>
      </c>
      <c r="AI12" s="14">
        <f>INT((AL12*0.55)+((AM12+AN12)*0.48)+((AO12+AP12)*0.39)+(AQ12*0.39)+((AR12+AS12)*0.35)+((AT12+AU12)*0.28))</f>
        <v>48416</v>
      </c>
      <c r="AJ12" s="14">
        <v>88715</v>
      </c>
      <c r="AK12" s="14">
        <v>211823</v>
      </c>
      <c r="AL12" s="14">
        <v>6521</v>
      </c>
      <c r="AM12" s="14">
        <v>7978</v>
      </c>
      <c r="AN12" s="14">
        <v>17997</v>
      </c>
      <c r="AO12" s="14">
        <v>15664</v>
      </c>
      <c r="AP12" s="14">
        <v>12333</v>
      </c>
      <c r="AQ12" s="14">
        <v>6562</v>
      </c>
      <c r="AR12" s="14">
        <v>8367</v>
      </c>
      <c r="AS12" s="14">
        <v>19029</v>
      </c>
      <c r="AT12" s="14">
        <v>18106</v>
      </c>
      <c r="AU12" s="14">
        <v>15093</v>
      </c>
    </row>
    <row r="13" spans="1:47" x14ac:dyDescent="0.3">
      <c r="A13" s="9">
        <v>11</v>
      </c>
      <c r="B13" s="9" t="s">
        <v>19</v>
      </c>
      <c r="C13" s="13">
        <v>9389.7127834579569</v>
      </c>
      <c r="D13" s="9">
        <f>INT(E13/100)</f>
        <v>33</v>
      </c>
      <c r="E13" s="14">
        <f>INT((H13*0.55)+((I13+J13)*0.48)+((K13+L13)*0.39)+(M13*0.39)+((N13+O13)*0.35)+((P13+Q13)*0.28))</f>
        <v>3357</v>
      </c>
      <c r="F13" s="14">
        <v>6553</v>
      </c>
      <c r="G13" s="14">
        <v>16175</v>
      </c>
      <c r="H13" s="14">
        <v>407</v>
      </c>
      <c r="I13" s="14">
        <v>477</v>
      </c>
      <c r="J13" s="14">
        <v>1115</v>
      </c>
      <c r="K13" s="14">
        <v>1158</v>
      </c>
      <c r="L13" s="14">
        <v>1043</v>
      </c>
      <c r="M13" s="14">
        <v>405</v>
      </c>
      <c r="N13" s="14">
        <v>530</v>
      </c>
      <c r="O13" s="14">
        <v>1256</v>
      </c>
      <c r="P13" s="14">
        <v>1337</v>
      </c>
      <c r="Q13" s="14">
        <v>1264</v>
      </c>
      <c r="R13" s="13">
        <v>6395.9600381102355</v>
      </c>
      <c r="S13" s="9">
        <f>INT(T13/100)</f>
        <v>178</v>
      </c>
      <c r="T13" s="14">
        <f>INT((W13*0.55)+((X13+Y13)*0.48)+((Z13+AA13)*0.39)+(AB13*0.39)+((AC13+AD13)*0.35)+((AE13+AF13)*0.28))</f>
        <v>17878</v>
      </c>
      <c r="U13" s="14">
        <v>31750</v>
      </c>
      <c r="V13" s="14">
        <v>81735</v>
      </c>
      <c r="W13" s="14">
        <v>2549</v>
      </c>
      <c r="X13" s="14">
        <v>2839</v>
      </c>
      <c r="Y13" s="14">
        <v>6222</v>
      </c>
      <c r="Z13" s="14">
        <v>5857</v>
      </c>
      <c r="AA13" s="14">
        <v>4872</v>
      </c>
      <c r="AB13" s="14">
        <v>2517</v>
      </c>
      <c r="AC13" s="14">
        <v>2895</v>
      </c>
      <c r="AD13" s="14">
        <v>6778</v>
      </c>
      <c r="AE13" s="14">
        <v>6841</v>
      </c>
      <c r="AF13" s="14">
        <v>5929</v>
      </c>
      <c r="AG13" s="13">
        <v>6287.2416702724631</v>
      </c>
      <c r="AH13" s="9">
        <f>INT(AI13/100)</f>
        <v>330</v>
      </c>
      <c r="AI13" s="14">
        <f>INT((AL13*0.55)+((AM13+AN13)*0.48)+((AO13+AP13)*0.39)+(AQ13*0.39)+((AR13+AS13)*0.35)+((AT13+AU13)*0.28))</f>
        <v>33053</v>
      </c>
      <c r="AJ13" s="14">
        <v>59164</v>
      </c>
      <c r="AK13" s="14">
        <v>150130</v>
      </c>
      <c r="AL13" s="14">
        <v>4724</v>
      </c>
      <c r="AM13" s="14">
        <v>5328</v>
      </c>
      <c r="AN13" s="14">
        <v>11599</v>
      </c>
      <c r="AO13" s="14">
        <v>10934</v>
      </c>
      <c r="AP13" s="14">
        <v>9056</v>
      </c>
      <c r="AQ13" s="14">
        <v>4747</v>
      </c>
      <c r="AR13" s="14">
        <v>5379</v>
      </c>
      <c r="AS13" s="14">
        <v>12247</v>
      </c>
      <c r="AT13" s="14">
        <v>12412</v>
      </c>
      <c r="AU13" s="14">
        <v>10852</v>
      </c>
    </row>
    <row r="14" spans="1:47" x14ac:dyDescent="0.3">
      <c r="A14" s="9">
        <v>12</v>
      </c>
      <c r="B14" s="9" t="s">
        <v>20</v>
      </c>
      <c r="C14" s="13">
        <v>7512.999073142415</v>
      </c>
      <c r="D14" s="9">
        <f>INT(E14/100)</f>
        <v>31</v>
      </c>
      <c r="E14" s="14">
        <f>INT((H14*0.55)+((I14+J14)*0.48)+((K14+L14)*0.39)+(M14*0.39)+((N14+O14)*0.35)+((P14+Q14)*0.28))</f>
        <v>3140</v>
      </c>
      <c r="F14" s="14">
        <v>5168</v>
      </c>
      <c r="G14" s="14">
        <v>12466</v>
      </c>
      <c r="H14" s="14">
        <v>348</v>
      </c>
      <c r="I14" s="14">
        <v>574</v>
      </c>
      <c r="J14" s="14">
        <v>1411</v>
      </c>
      <c r="K14" s="14">
        <v>1007</v>
      </c>
      <c r="L14" s="14">
        <v>559</v>
      </c>
      <c r="M14" s="14">
        <v>402</v>
      </c>
      <c r="N14" s="14">
        <v>698</v>
      </c>
      <c r="O14" s="14">
        <v>1422</v>
      </c>
      <c r="P14" s="14">
        <v>1099</v>
      </c>
      <c r="Q14" s="14">
        <v>639</v>
      </c>
      <c r="R14" s="13">
        <v>6615.2393730942786</v>
      </c>
      <c r="S14" s="9">
        <f>INT(T14/100)</f>
        <v>94</v>
      </c>
      <c r="T14" s="14">
        <f>INT((W14*0.55)+((X14+Y14)*0.48)+((Z14+AA14)*0.39)+(AB14*0.39)+((AC14+AD14)*0.35)+((AE14+AF14)*0.28))</f>
        <v>9495</v>
      </c>
      <c r="U14" s="14">
        <v>16398</v>
      </c>
      <c r="V14" s="14">
        <v>40372</v>
      </c>
      <c r="W14" s="14">
        <v>1426</v>
      </c>
      <c r="X14" s="14">
        <v>1530</v>
      </c>
      <c r="Y14" s="14">
        <v>3603</v>
      </c>
      <c r="Z14" s="14">
        <v>3166</v>
      </c>
      <c r="AA14" s="14">
        <v>2043</v>
      </c>
      <c r="AB14" s="14">
        <v>1469</v>
      </c>
      <c r="AC14" s="14">
        <v>1759</v>
      </c>
      <c r="AD14" s="14">
        <v>3862</v>
      </c>
      <c r="AE14" s="14">
        <v>3486</v>
      </c>
      <c r="AF14" s="14">
        <v>2498</v>
      </c>
      <c r="AG14" s="13">
        <v>5428.1574814248715</v>
      </c>
      <c r="AH14" s="9">
        <f>INT(AI14/100)</f>
        <v>136</v>
      </c>
      <c r="AI14" s="14">
        <f>INT((AL14*0.55)+((AM14+AN14)*0.48)+((AO14+AP14)*0.39)+(AQ14*0.39)+((AR14+AS14)*0.35)+((AT14+AU14)*0.28))</f>
        <v>13679</v>
      </c>
      <c r="AJ14" s="14">
        <v>23553</v>
      </c>
      <c r="AK14" s="14">
        <v>60642</v>
      </c>
      <c r="AL14" s="14">
        <v>1995</v>
      </c>
      <c r="AM14" s="14">
        <v>2279</v>
      </c>
      <c r="AN14" s="14">
        <v>5039</v>
      </c>
      <c r="AO14" s="14">
        <v>4485</v>
      </c>
      <c r="AP14" s="14">
        <v>3302</v>
      </c>
      <c r="AQ14" s="14">
        <v>2152</v>
      </c>
      <c r="AR14" s="14">
        <v>2362</v>
      </c>
      <c r="AS14" s="14">
        <v>5367</v>
      </c>
      <c r="AT14" s="14">
        <v>4993</v>
      </c>
      <c r="AU14" s="14">
        <v>3892</v>
      </c>
    </row>
    <row r="15" spans="1:47" x14ac:dyDescent="0.3">
      <c r="A15" s="9">
        <v>13</v>
      </c>
      <c r="B15" s="9" t="s">
        <v>21</v>
      </c>
      <c r="C15" s="13">
        <v>8779.1388476106076</v>
      </c>
      <c r="D15" s="9">
        <f>INT(E15/100)</f>
        <v>68</v>
      </c>
      <c r="E15" s="14">
        <f>INT((H15*0.55)+((I15+J15)*0.48)+((K15+L15)*0.39)+(M15*0.39)+((N15+O15)*0.35)+((P15+Q15)*0.28))</f>
        <v>6872</v>
      </c>
      <c r="F15" s="14">
        <v>12409</v>
      </c>
      <c r="G15" s="14">
        <v>30273</v>
      </c>
      <c r="H15" s="14">
        <v>974</v>
      </c>
      <c r="I15" s="14">
        <v>1062</v>
      </c>
      <c r="J15" s="14">
        <v>2381</v>
      </c>
      <c r="K15" s="14">
        <v>2264</v>
      </c>
      <c r="L15" s="14">
        <v>2013</v>
      </c>
      <c r="M15" s="14">
        <v>948</v>
      </c>
      <c r="N15" s="14">
        <v>1117</v>
      </c>
      <c r="O15" s="14">
        <v>2503</v>
      </c>
      <c r="P15" s="14">
        <v>2633</v>
      </c>
      <c r="Q15" s="14">
        <v>2294</v>
      </c>
      <c r="R15" s="13">
        <v>6462.9568745138358</v>
      </c>
      <c r="S15" s="9">
        <f>INT(T15/100)</f>
        <v>224</v>
      </c>
      <c r="T15" s="14">
        <f>INT((W15*0.55)+((X15+Y15)*0.48)+((Z15+AA15)*0.39)+(AB15*0.39)+((AC15+AD15)*0.35)+((AE15+AF15)*0.28))</f>
        <v>22460</v>
      </c>
      <c r="U15" s="14">
        <v>39853</v>
      </c>
      <c r="V15" s="14">
        <v>99421</v>
      </c>
      <c r="W15" s="14">
        <v>3496</v>
      </c>
      <c r="X15" s="14">
        <v>3734</v>
      </c>
      <c r="Y15" s="14">
        <v>8128</v>
      </c>
      <c r="Z15" s="14">
        <v>7134</v>
      </c>
      <c r="AA15" s="14">
        <v>5641</v>
      </c>
      <c r="AB15" s="14">
        <v>3319</v>
      </c>
      <c r="AC15" s="14">
        <v>3906</v>
      </c>
      <c r="AD15" s="14">
        <v>8594</v>
      </c>
      <c r="AE15" s="14">
        <v>8132</v>
      </c>
      <c r="AF15" s="14">
        <v>6839</v>
      </c>
      <c r="AG15" s="13">
        <v>7033.5797606148817</v>
      </c>
      <c r="AH15" s="9">
        <f>INT(AI15/100)</f>
        <v>339</v>
      </c>
      <c r="AI15" s="14">
        <f>INT((AL15*0.55)+((AM15+AN15)*0.48)+((AO15+AP15)*0.39)+(AQ15*0.39)+((AR15+AS15)*0.35)+((AT15+AU15)*0.28))</f>
        <v>33900</v>
      </c>
      <c r="AJ15" s="14">
        <v>59068</v>
      </c>
      <c r="AK15" s="14">
        <v>153045</v>
      </c>
      <c r="AL15" s="14">
        <v>5143</v>
      </c>
      <c r="AM15" s="14">
        <v>5305</v>
      </c>
      <c r="AN15" s="14">
        <v>11624</v>
      </c>
      <c r="AO15" s="14">
        <v>11447</v>
      </c>
      <c r="AP15" s="14">
        <v>9332</v>
      </c>
      <c r="AQ15" s="14">
        <v>4854</v>
      </c>
      <c r="AR15" s="14">
        <v>5465</v>
      </c>
      <c r="AS15" s="14">
        <v>12384</v>
      </c>
      <c r="AT15" s="14">
        <v>12929</v>
      </c>
      <c r="AU15" s="14">
        <v>11006</v>
      </c>
    </row>
    <row r="16" spans="1:47" x14ac:dyDescent="0.3">
      <c r="A16" s="9">
        <v>14</v>
      </c>
      <c r="B16" s="9" t="s">
        <v>88</v>
      </c>
      <c r="C16" s="13">
        <v>7189.51</v>
      </c>
      <c r="D16" s="9">
        <f>INT(E16/100)</f>
        <v>0</v>
      </c>
      <c r="E16" s="14">
        <f>INT((H16*0.55)+((I16+J16)*0.48)+((K16+L16)*0.39)+(M16*0.39)+((N16+O16)*0.35)+((P16+Q16)*0.28))</f>
        <v>67</v>
      </c>
      <c r="F16" s="14">
        <v>132</v>
      </c>
      <c r="G16" s="14">
        <v>224</v>
      </c>
      <c r="H16" s="14">
        <v>15</v>
      </c>
      <c r="I16" s="14">
        <v>21</v>
      </c>
      <c r="J16" s="14">
        <v>23</v>
      </c>
      <c r="K16" s="14">
        <v>12</v>
      </c>
      <c r="L16" s="14">
        <v>21</v>
      </c>
      <c r="M16" s="14">
        <v>14</v>
      </c>
      <c r="N16" s="14">
        <v>8</v>
      </c>
      <c r="O16" s="14">
        <v>19</v>
      </c>
      <c r="P16" s="14">
        <v>17</v>
      </c>
      <c r="Q16" s="14">
        <v>20</v>
      </c>
      <c r="R16" s="13">
        <v>12174.004242480505</v>
      </c>
      <c r="S16" s="9">
        <f>INT(T16/100)</f>
        <v>27</v>
      </c>
      <c r="T16" s="14">
        <f>INT((W16*0.55)+((X16+Y16)*0.48)+((Z16+AA16)*0.39)+(AB16*0.39)+((AC16+AD16)*0.35)+((AE16+AF16)*0.28))</f>
        <v>2737</v>
      </c>
      <c r="U16" s="14">
        <v>5386</v>
      </c>
      <c r="V16" s="14">
        <v>10330</v>
      </c>
      <c r="W16" s="14">
        <v>313</v>
      </c>
      <c r="X16" s="14">
        <v>463</v>
      </c>
      <c r="Y16" s="14">
        <v>1002</v>
      </c>
      <c r="Z16" s="14">
        <v>899</v>
      </c>
      <c r="AA16" s="14">
        <v>769</v>
      </c>
      <c r="AB16" s="14">
        <v>311</v>
      </c>
      <c r="AC16" s="14">
        <v>507</v>
      </c>
      <c r="AD16" s="14">
        <v>1183</v>
      </c>
      <c r="AE16" s="14">
        <v>1014</v>
      </c>
      <c r="AF16" s="14">
        <v>768</v>
      </c>
      <c r="AG16" s="13">
        <v>13314.044231223763</v>
      </c>
      <c r="AH16" s="9">
        <f>INT(AI16/100)</f>
        <v>127</v>
      </c>
      <c r="AI16" s="14">
        <f>INT((AL16*0.55)+((AM16+AN16)*0.48)+((AO16+AP16)*0.39)+(AQ16*0.39)+((AR16+AS16)*0.35)+((AT16+AU16)*0.28))</f>
        <v>12735</v>
      </c>
      <c r="AJ16" s="14">
        <v>24539</v>
      </c>
      <c r="AK16" s="14">
        <v>56877</v>
      </c>
      <c r="AL16" s="14">
        <v>1473</v>
      </c>
      <c r="AM16" s="14">
        <v>1585</v>
      </c>
      <c r="AN16" s="14">
        <v>4421</v>
      </c>
      <c r="AO16" s="14">
        <v>4783</v>
      </c>
      <c r="AP16" s="14">
        <v>3623</v>
      </c>
      <c r="AQ16" s="14">
        <v>1492</v>
      </c>
      <c r="AR16" s="14">
        <v>1820</v>
      </c>
      <c r="AS16" s="14">
        <v>5184</v>
      </c>
      <c r="AT16" s="14">
        <v>5645</v>
      </c>
      <c r="AU16" s="14">
        <v>4107</v>
      </c>
    </row>
    <row r="19" spans="1:8" x14ac:dyDescent="0.3">
      <c r="A19" s="22" t="s">
        <v>131</v>
      </c>
      <c r="B19" s="22"/>
      <c r="C19" s="23" t="s">
        <v>126</v>
      </c>
      <c r="D19" s="23"/>
      <c r="E19" s="23"/>
      <c r="F19" s="23" t="s">
        <v>127</v>
      </c>
      <c r="G19" s="23"/>
      <c r="H19" s="23"/>
    </row>
    <row r="20" spans="1:8" x14ac:dyDescent="0.3">
      <c r="A20" s="18" t="s">
        <v>0</v>
      </c>
      <c r="B20" s="18" t="s">
        <v>1</v>
      </c>
      <c r="C20" s="18" t="s">
        <v>133</v>
      </c>
      <c r="D20" s="18" t="s">
        <v>134</v>
      </c>
      <c r="E20" s="18" t="s">
        <v>135</v>
      </c>
      <c r="F20" s="18" t="s">
        <v>133</v>
      </c>
      <c r="G20" s="18" t="s">
        <v>134</v>
      </c>
      <c r="H20" s="18" t="s">
        <v>135</v>
      </c>
    </row>
    <row r="21" spans="1:8" x14ac:dyDescent="0.3">
      <c r="A21" s="9">
        <v>1</v>
      </c>
      <c r="B21" s="9" t="s">
        <v>9</v>
      </c>
      <c r="C21" s="9">
        <f>D3</f>
        <v>109</v>
      </c>
      <c r="D21" s="9">
        <f>D3+S3</f>
        <v>431</v>
      </c>
      <c r="E21" s="9">
        <f>D3+S3+AH3</f>
        <v>906</v>
      </c>
      <c r="F21" s="14">
        <f>E3</f>
        <v>10936</v>
      </c>
      <c r="G21" s="14">
        <f>E3+T3</f>
        <v>43233</v>
      </c>
      <c r="H21" s="14">
        <f>E3+T3+AI3</f>
        <v>90825</v>
      </c>
    </row>
    <row r="22" spans="1:8" x14ac:dyDescent="0.3">
      <c r="A22" s="9">
        <v>2</v>
      </c>
      <c r="B22" s="9" t="s">
        <v>10</v>
      </c>
      <c r="C22" s="9">
        <f>D4</f>
        <v>62</v>
      </c>
      <c r="D22" s="9">
        <f>D4+S4</f>
        <v>305</v>
      </c>
      <c r="E22" s="9">
        <f>D4+S4+AH4</f>
        <v>710</v>
      </c>
      <c r="F22" s="14">
        <f>E4</f>
        <v>6248</v>
      </c>
      <c r="G22" s="14">
        <f>E4+T4</f>
        <v>30612</v>
      </c>
      <c r="H22" s="14">
        <f>E4+T4+AI4</f>
        <v>71182</v>
      </c>
    </row>
    <row r="23" spans="1:8" x14ac:dyDescent="0.3">
      <c r="A23" s="9">
        <v>3</v>
      </c>
      <c r="B23" s="9" t="s">
        <v>11</v>
      </c>
      <c r="C23" s="9">
        <f>D5</f>
        <v>103</v>
      </c>
      <c r="D23" s="9">
        <f>D5+S5</f>
        <v>307</v>
      </c>
      <c r="E23" s="9">
        <f>D5+S5+AH5</f>
        <v>513</v>
      </c>
      <c r="F23" s="14">
        <f>E5</f>
        <v>10337</v>
      </c>
      <c r="G23" s="14">
        <f>E5+T5</f>
        <v>30751</v>
      </c>
      <c r="H23" s="14">
        <f>E5+T5+AI5</f>
        <v>51374</v>
      </c>
    </row>
    <row r="24" spans="1:8" x14ac:dyDescent="0.3">
      <c r="A24" s="9">
        <v>4</v>
      </c>
      <c r="B24" s="9" t="s">
        <v>12</v>
      </c>
      <c r="C24" s="9">
        <f>D6</f>
        <v>87</v>
      </c>
      <c r="D24" s="9">
        <f>D6+S6</f>
        <v>339</v>
      </c>
      <c r="E24" s="9">
        <f>D6+S6+AH6</f>
        <v>560</v>
      </c>
      <c r="F24" s="14">
        <f>E6</f>
        <v>8719</v>
      </c>
      <c r="G24" s="14">
        <f>E6+T6</f>
        <v>33975</v>
      </c>
      <c r="H24" s="14">
        <f>E6+T6+AI6</f>
        <v>56144</v>
      </c>
    </row>
    <row r="25" spans="1:8" x14ac:dyDescent="0.3">
      <c r="A25" s="9">
        <v>5</v>
      </c>
      <c r="B25" s="9" t="s">
        <v>13</v>
      </c>
      <c r="C25" s="9">
        <f>D7</f>
        <v>61</v>
      </c>
      <c r="D25" s="9">
        <f>D7+S7</f>
        <v>280</v>
      </c>
      <c r="E25" s="9">
        <f>D7+S7+AH7</f>
        <v>768</v>
      </c>
      <c r="F25" s="14">
        <f>E7</f>
        <v>6157</v>
      </c>
      <c r="G25" s="14">
        <f>E7+T7</f>
        <v>28125</v>
      </c>
      <c r="H25" s="14">
        <f>E7+T7+AI7</f>
        <v>76976</v>
      </c>
    </row>
    <row r="26" spans="1:8" x14ac:dyDescent="0.3">
      <c r="A26" s="9">
        <v>6</v>
      </c>
      <c r="B26" s="9" t="s">
        <v>14</v>
      </c>
      <c r="C26" s="9">
        <f>D8</f>
        <v>83</v>
      </c>
      <c r="D26" s="9">
        <f>D8+S8</f>
        <v>277</v>
      </c>
      <c r="E26" s="9">
        <f>D8+S8+AH8</f>
        <v>775</v>
      </c>
      <c r="F26" s="14">
        <f>E8</f>
        <v>8357</v>
      </c>
      <c r="G26" s="14">
        <f>E8+T8</f>
        <v>27815</v>
      </c>
      <c r="H26" s="14">
        <f>E8+T8+AI8</f>
        <v>77670</v>
      </c>
    </row>
    <row r="27" spans="1:8" x14ac:dyDescent="0.3">
      <c r="A27" s="9">
        <v>7</v>
      </c>
      <c r="B27" s="9" t="s">
        <v>15</v>
      </c>
      <c r="C27" s="9">
        <f>D9</f>
        <v>39</v>
      </c>
      <c r="D27" s="9">
        <f>D9+S9</f>
        <v>293</v>
      </c>
      <c r="E27" s="9">
        <f>D9+S9+AH9</f>
        <v>677</v>
      </c>
      <c r="F27" s="14">
        <f>E9</f>
        <v>3914</v>
      </c>
      <c r="G27" s="14">
        <f>E9+T9</f>
        <v>29330</v>
      </c>
      <c r="H27" s="14">
        <f>E9+T9+AI9</f>
        <v>67765</v>
      </c>
    </row>
    <row r="28" spans="1:8" x14ac:dyDescent="0.3">
      <c r="A28" s="9">
        <v>8</v>
      </c>
      <c r="B28" s="9" t="s">
        <v>16</v>
      </c>
      <c r="C28" s="9">
        <f>D10</f>
        <v>40</v>
      </c>
      <c r="D28" s="9">
        <f>D10+S10</f>
        <v>257</v>
      </c>
      <c r="E28" s="9">
        <f>D10+S10+AH10</f>
        <v>338</v>
      </c>
      <c r="F28" s="14">
        <f>E10</f>
        <v>4095</v>
      </c>
      <c r="G28" s="14">
        <f>E10+T10</f>
        <v>25804</v>
      </c>
      <c r="H28" s="14">
        <f>E10+T10+AI10</f>
        <v>33981</v>
      </c>
    </row>
    <row r="29" spans="1:8" x14ac:dyDescent="0.3">
      <c r="A29" s="9">
        <v>9</v>
      </c>
      <c r="B29" s="9" t="s">
        <v>17</v>
      </c>
      <c r="C29" s="9">
        <f>D11</f>
        <v>193</v>
      </c>
      <c r="D29" s="9">
        <f>D11+S11</f>
        <v>394</v>
      </c>
      <c r="E29" s="9">
        <f>D11+S11+AH11</f>
        <v>735</v>
      </c>
      <c r="F29" s="14">
        <f>E11</f>
        <v>19330</v>
      </c>
      <c r="G29" s="14">
        <f>E11+T11</f>
        <v>39511</v>
      </c>
      <c r="H29" s="14">
        <f>E11+T11+AI11</f>
        <v>73690</v>
      </c>
    </row>
    <row r="30" spans="1:8" x14ac:dyDescent="0.3">
      <c r="A30" s="9">
        <v>10</v>
      </c>
      <c r="B30" s="9" t="s">
        <v>18</v>
      </c>
      <c r="C30" s="9">
        <f>D12</f>
        <v>71</v>
      </c>
      <c r="D30" s="9">
        <f>D12+S12</f>
        <v>256</v>
      </c>
      <c r="E30" s="9">
        <f>D12+S12+AH12</f>
        <v>740</v>
      </c>
      <c r="F30" s="14">
        <f>E12</f>
        <v>7183</v>
      </c>
      <c r="G30" s="14">
        <f>E12+T12</f>
        <v>25703</v>
      </c>
      <c r="H30" s="14">
        <f>E12+T12+AI12</f>
        <v>74119</v>
      </c>
    </row>
    <row r="31" spans="1:8" x14ac:dyDescent="0.3">
      <c r="A31" s="9">
        <v>11</v>
      </c>
      <c r="B31" s="9" t="s">
        <v>19</v>
      </c>
      <c r="C31" s="9">
        <f>D13</f>
        <v>33</v>
      </c>
      <c r="D31" s="9">
        <f>D13+S13</f>
        <v>211</v>
      </c>
      <c r="E31" s="9">
        <f>D13+S13+AH13</f>
        <v>541</v>
      </c>
      <c r="F31" s="14">
        <f>E13</f>
        <v>3357</v>
      </c>
      <c r="G31" s="14">
        <f>E13+T13</f>
        <v>21235</v>
      </c>
      <c r="H31" s="14">
        <f>E13+T13+AI13</f>
        <v>54288</v>
      </c>
    </row>
    <row r="32" spans="1:8" x14ac:dyDescent="0.3">
      <c r="A32" s="9">
        <v>12</v>
      </c>
      <c r="B32" s="9" t="s">
        <v>20</v>
      </c>
      <c r="C32" s="9">
        <f>D14</f>
        <v>31</v>
      </c>
      <c r="D32" s="9">
        <f>D14+S14</f>
        <v>125</v>
      </c>
      <c r="E32" s="9">
        <f>D14+S14+AH14</f>
        <v>261</v>
      </c>
      <c r="F32" s="14">
        <f>E14</f>
        <v>3140</v>
      </c>
      <c r="G32" s="14">
        <f>E14+T14</f>
        <v>12635</v>
      </c>
      <c r="H32" s="14">
        <f>E14+T14+AI14</f>
        <v>26314</v>
      </c>
    </row>
    <row r="33" spans="1:8" x14ac:dyDescent="0.3">
      <c r="A33" s="9">
        <v>13</v>
      </c>
      <c r="B33" s="9" t="s">
        <v>21</v>
      </c>
      <c r="C33" s="9">
        <f>D15</f>
        <v>68</v>
      </c>
      <c r="D33" s="9">
        <f>D15+S15</f>
        <v>292</v>
      </c>
      <c r="E33" s="9">
        <f>D15+S15+AH15</f>
        <v>631</v>
      </c>
      <c r="F33" s="14">
        <f>E15</f>
        <v>6872</v>
      </c>
      <c r="G33" s="14">
        <f>E15+T15</f>
        <v>29332</v>
      </c>
      <c r="H33" s="14">
        <f>E15+T15+AI15</f>
        <v>63232</v>
      </c>
    </row>
    <row r="34" spans="1:8" x14ac:dyDescent="0.3">
      <c r="A34" s="9">
        <v>14</v>
      </c>
      <c r="B34" s="9" t="s">
        <v>88</v>
      </c>
      <c r="C34" s="9">
        <f>D16</f>
        <v>0</v>
      </c>
      <c r="D34" s="9">
        <f>D16+S16</f>
        <v>27</v>
      </c>
      <c r="E34" s="9">
        <f>D16+S16+AH16</f>
        <v>154</v>
      </c>
      <c r="F34" s="14">
        <f>E16</f>
        <v>67</v>
      </c>
      <c r="G34" s="14">
        <f>E16+T16</f>
        <v>2804</v>
      </c>
      <c r="H34" s="14">
        <f>E16+T16+AI16</f>
        <v>15539</v>
      </c>
    </row>
  </sheetData>
  <sortState xmlns:xlrd2="http://schemas.microsoft.com/office/spreadsheetml/2017/richdata2" ref="A21:EC34">
    <sortCondition ref="A21:A34"/>
  </sortState>
  <mergeCells count="7">
    <mergeCell ref="AG1:AU1"/>
    <mergeCell ref="R1:AF1"/>
    <mergeCell ref="C1:Q1"/>
    <mergeCell ref="A19:B19"/>
    <mergeCell ref="A1:B1"/>
    <mergeCell ref="C19:E19"/>
    <mergeCell ref="F19:H19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43D36-D367-453E-A9F5-DB363A0F6A59}">
  <dimension ref="A1:D7"/>
  <sheetViews>
    <sheetView workbookViewId="0">
      <selection activeCell="C1" sqref="C1"/>
    </sheetView>
  </sheetViews>
  <sheetFormatPr defaultRowHeight="14.4" x14ac:dyDescent="0.3"/>
  <cols>
    <col min="1" max="1" width="15.21875" style="9" customWidth="1"/>
    <col min="2" max="2" width="14.109375" style="9" bestFit="1" customWidth="1"/>
    <col min="3" max="3" width="13.88671875" style="9" customWidth="1"/>
    <col min="4" max="4" width="12.88671875" customWidth="1"/>
  </cols>
  <sheetData>
    <row r="1" spans="1:4" x14ac:dyDescent="0.3">
      <c r="A1" s="12" t="s">
        <v>109</v>
      </c>
      <c r="B1" s="12" t="s">
        <v>110</v>
      </c>
      <c r="C1" s="12" t="s">
        <v>111</v>
      </c>
      <c r="D1" s="12" t="s">
        <v>112</v>
      </c>
    </row>
    <row r="2" spans="1:4" x14ac:dyDescent="0.3">
      <c r="A2" s="9" t="s">
        <v>104</v>
      </c>
      <c r="B2" s="9" t="s">
        <v>107</v>
      </c>
      <c r="C2" s="10">
        <v>0.55000000000000004</v>
      </c>
      <c r="D2" s="11">
        <f>C2/100</f>
        <v>5.5000000000000005E-3</v>
      </c>
    </row>
    <row r="3" spans="1:4" x14ac:dyDescent="0.3">
      <c r="A3" s="9" t="s">
        <v>104</v>
      </c>
      <c r="B3" s="9" t="s">
        <v>108</v>
      </c>
      <c r="C3" s="10">
        <v>0.39</v>
      </c>
      <c r="D3" s="11">
        <f t="shared" ref="D3:D7" si="0">C3/100</f>
        <v>3.9000000000000003E-3</v>
      </c>
    </row>
    <row r="4" spans="1:4" x14ac:dyDescent="0.3">
      <c r="A4" s="9" t="s">
        <v>105</v>
      </c>
      <c r="B4" s="9" t="s">
        <v>107</v>
      </c>
      <c r="C4" s="10">
        <v>0.48</v>
      </c>
      <c r="D4" s="11">
        <f t="shared" si="0"/>
        <v>4.7999999999999996E-3</v>
      </c>
    </row>
    <row r="5" spans="1:4" x14ac:dyDescent="0.3">
      <c r="A5" s="9" t="s">
        <v>105</v>
      </c>
      <c r="B5" s="9" t="s">
        <v>108</v>
      </c>
      <c r="C5" s="10">
        <v>0.35</v>
      </c>
      <c r="D5" s="11">
        <f t="shared" si="0"/>
        <v>3.4999999999999996E-3</v>
      </c>
    </row>
    <row r="6" spans="1:4" x14ac:dyDescent="0.3">
      <c r="A6" s="9" t="s">
        <v>106</v>
      </c>
      <c r="B6" s="9" t="s">
        <v>107</v>
      </c>
      <c r="C6" s="10">
        <v>0.39</v>
      </c>
      <c r="D6" s="11">
        <f t="shared" si="0"/>
        <v>3.9000000000000003E-3</v>
      </c>
    </row>
    <row r="7" spans="1:4" x14ac:dyDescent="0.3">
      <c r="A7" s="9" t="s">
        <v>106</v>
      </c>
      <c r="B7" s="9" t="s">
        <v>108</v>
      </c>
      <c r="C7" s="10">
        <v>0.28000000000000003</v>
      </c>
      <c r="D7" s="11">
        <f t="shared" si="0"/>
        <v>2.8000000000000004E-3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CA0A6C-36E1-4416-BF5B-4C48AED20A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LOJAS</vt:lpstr>
      <vt:lpstr>Premissas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Wagner</cp:lastModifiedBy>
  <dcterms:created xsi:type="dcterms:W3CDTF">2026-04-15T17:06:04Z</dcterms:created>
  <dcterms:modified xsi:type="dcterms:W3CDTF">2026-04-16T21:31:36Z</dcterms:modified>
</cp:coreProperties>
</file>